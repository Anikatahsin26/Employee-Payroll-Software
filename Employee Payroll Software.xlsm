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463A5359-2D3A-49D3-93E0-5E97C49214D2}" xr6:coauthVersionLast="47" xr6:coauthVersionMax="47" xr10:uidLastSave="{00000000-0000-0000-0000-000000000000}"/>
  <bookViews>
    <workbookView xWindow="-120" yWindow="-120" windowWidth="20730" windowHeight="11040" xr2:uid="{1214A89B-38EA-4356-808A-6B6FD5A51A77}"/>
  </bookViews>
  <sheets>
    <sheet name="Reports" sheetId="1" r:id="rId1"/>
    <sheet name="Attendance" sheetId="2" r:id="rId2"/>
    <sheet name="Setting" sheetId="3" r:id="rId3"/>
    <sheet name="Payment" sheetId="4" r:id="rId4"/>
  </sheets>
  <externalReferences>
    <externalReference r:id="rId5"/>
  </externalReferences>
  <definedNames>
    <definedName name="Apr">Attendance!$A$5:$AH$11</definedName>
    <definedName name="Aug">Attendance!$EP$5:$FX$11</definedName>
    <definedName name="Dec">Attendance!$KF$5:$LL$11</definedName>
    <definedName name="Feb">Attendance!$NB$5:$OG$11</definedName>
    <definedName name="Jan">Attendance!$LQ$5:$MY$11</definedName>
    <definedName name="Jul">Attendance!$DE$5:$EM$11</definedName>
    <definedName name="Jun">Attendance!$BU$5:$DB$11</definedName>
    <definedName name="Mar">Attendance!$OJ$5:$PR$11</definedName>
    <definedName name="May">Attendance!$AK$5:$BS$11</definedName>
    <definedName name="Nov">Attendance!$IV$5:$KC$11</definedName>
    <definedName name="Oct">Attendance!$HK$5:$IS$11</definedName>
    <definedName name="Plan">Setting!$C$12:$C$15</definedName>
    <definedName name="_xlnm.Print_Area" localSheetId="0">Reports!$B$2:$AI$41</definedName>
    <definedName name="Sep">Attendance!$GA$5:$HH$11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4" i="1" l="1"/>
  <c r="AV13" i="1"/>
  <c r="AV10" i="1"/>
  <c r="AQ15" i="1"/>
  <c r="AQ14" i="1"/>
  <c r="AQ13" i="1"/>
  <c r="AQ12" i="1"/>
  <c r="AQ11" i="1"/>
  <c r="AK30" i="1"/>
  <c r="AK31" i="1"/>
  <c r="AK32" i="1"/>
  <c r="Z7" i="1"/>
  <c r="Z16" i="1"/>
  <c r="X16" i="1"/>
  <c r="V16" i="1"/>
  <c r="T16" i="1"/>
  <c r="R16" i="1"/>
  <c r="P16" i="1"/>
  <c r="N16" i="1"/>
  <c r="L16" i="1"/>
  <c r="J16" i="1"/>
  <c r="H16" i="1"/>
  <c r="F16" i="1"/>
  <c r="D16" i="1"/>
  <c r="Z9" i="1" s="1"/>
  <c r="C5" i="4"/>
  <c r="C6" i="4"/>
  <c r="C7" i="4"/>
  <c r="C8" i="4"/>
  <c r="C4" i="4"/>
  <c r="AC16" i="1" l="1"/>
  <c r="F11" i="1" l="1"/>
  <c r="F10" i="1"/>
  <c r="F9" i="1"/>
  <c r="F8" i="1"/>
  <c r="ON6" i="2"/>
  <c r="OO6" i="2" s="1"/>
  <c r="NF6" i="2"/>
  <c r="NG6" i="2" s="1"/>
  <c r="LU6" i="2"/>
  <c r="LV6" i="2" s="1"/>
  <c r="KJ6" i="2"/>
  <c r="KK6" i="2" s="1"/>
  <c r="IZ6" i="2"/>
  <c r="JA6" i="2" s="1"/>
  <c r="HO6" i="2"/>
  <c r="HP6" i="2" s="1"/>
  <c r="GE6" i="2"/>
  <c r="GF6" i="2" s="1"/>
  <c r="ET6" i="2"/>
  <c r="EU6" i="2" s="1"/>
  <c r="DI6" i="2"/>
  <c r="DJ6" i="2" s="1"/>
  <c r="BY6" i="2"/>
  <c r="BZ6" i="2" s="1"/>
  <c r="AO6" i="2"/>
  <c r="AP6" i="2" s="1"/>
  <c r="OJ11" i="2"/>
  <c r="NC10" i="2"/>
  <c r="LS8" i="2"/>
  <c r="LT8" i="2"/>
  <c r="KI9" i="2"/>
  <c r="KG11" i="2"/>
  <c r="AK11" i="2"/>
  <c r="BU11" i="2" s="1"/>
  <c r="DE11" i="2" s="1"/>
  <c r="B8" i="2"/>
  <c r="GB8" i="2" s="1"/>
  <c r="C8" i="2"/>
  <c r="ER8" i="2" s="1"/>
  <c r="D8" i="2"/>
  <c r="AN8" i="2" s="1"/>
  <c r="BX8" i="2" s="1"/>
  <c r="DH8" i="2" s="1"/>
  <c r="B9" i="2"/>
  <c r="HL9" i="2" s="1"/>
  <c r="C9" i="2"/>
  <c r="GC9" i="2" s="1"/>
  <c r="D9" i="2"/>
  <c r="GD9" i="2" s="1"/>
  <c r="B10" i="2"/>
  <c r="GB10" i="2" s="1"/>
  <c r="C10" i="2"/>
  <c r="HM10" i="2" s="1"/>
  <c r="D10" i="2"/>
  <c r="GD10" i="2" s="1"/>
  <c r="B11" i="2"/>
  <c r="GB11" i="2" s="1"/>
  <c r="C11" i="2"/>
  <c r="ER11" i="2" s="1"/>
  <c r="D11" i="2"/>
  <c r="HN11" i="2" s="1"/>
  <c r="C7" i="2"/>
  <c r="AM7" i="2" s="1"/>
  <c r="BW7" i="2" s="1"/>
  <c r="DG7" i="2" s="1"/>
  <c r="D7" i="2"/>
  <c r="ES7" i="2" s="1"/>
  <c r="A8" i="2"/>
  <c r="GA8" i="2" s="1"/>
  <c r="A9" i="2"/>
  <c r="IV9" i="2" s="1"/>
  <c r="A10" i="2"/>
  <c r="AK10" i="2" s="1"/>
  <c r="BU10" i="2" s="1"/>
  <c r="DE10" i="2" s="1"/>
  <c r="A11" i="2"/>
  <c r="HK11" i="2" s="1"/>
  <c r="B7" i="2"/>
  <c r="AL7" i="2" s="1"/>
  <c r="BV7" i="2" s="1"/>
  <c r="DF7" i="2" s="1"/>
  <c r="A7" i="2"/>
  <c r="IV7" i="2" s="1"/>
  <c r="E6" i="2"/>
  <c r="F6" i="2" s="1"/>
  <c r="G6" i="2" s="1"/>
  <c r="D26" i="1" a="1"/>
  <c r="F26" i="1" a="1"/>
  <c r="H26" i="1" a="1"/>
  <c r="J26" i="1" a="1"/>
  <c r="L26" i="1" a="1"/>
  <c r="N26" i="1" a="1"/>
  <c r="P26" i="1" a="1"/>
  <c r="R26" i="1" a="1"/>
  <c r="T26" i="1" a="1"/>
  <c r="V26" i="1" a="1"/>
  <c r="X26" i="1" a="1"/>
  <c r="Z26" i="1" a="1"/>
  <c r="AB26" i="1" a="1"/>
  <c r="AD26" i="1" a="1"/>
  <c r="AF26" i="1" a="1"/>
  <c r="AH26" i="1" a="1"/>
  <c r="E27" i="1" a="1"/>
  <c r="G27" i="1" a="1"/>
  <c r="I27" i="1" a="1"/>
  <c r="K27" i="1" a="1"/>
  <c r="M27" i="1" a="1"/>
  <c r="O27" i="1" a="1"/>
  <c r="Q27" i="1" a="1"/>
  <c r="S27" i="1" a="1"/>
  <c r="U27" i="1" a="1"/>
  <c r="W27" i="1" a="1"/>
  <c r="Y27" i="1" a="1"/>
  <c r="AA27" i="1" a="1"/>
  <c r="AC27" i="1" a="1"/>
  <c r="AE27" i="1" a="1"/>
  <c r="AG27" i="1" a="1"/>
  <c r="D28" i="1" a="1"/>
  <c r="E26" i="1" a="1"/>
  <c r="G26" i="1" a="1"/>
  <c r="I26" i="1" a="1"/>
  <c r="K26" i="1" a="1"/>
  <c r="M26" i="1" a="1"/>
  <c r="O26" i="1" a="1"/>
  <c r="Q26" i="1" a="1"/>
  <c r="S26" i="1" a="1"/>
  <c r="U26" i="1" a="1"/>
  <c r="W26" i="1" a="1"/>
  <c r="Y26" i="1" a="1"/>
  <c r="AA26" i="1" a="1"/>
  <c r="AC26" i="1" a="1"/>
  <c r="AE26" i="1" a="1"/>
  <c r="AG26" i="1" a="1"/>
  <c r="D27" i="1" a="1"/>
  <c r="F27" i="1" a="1"/>
  <c r="H27" i="1" a="1"/>
  <c r="J27" i="1" a="1"/>
  <c r="L27" i="1" a="1"/>
  <c r="N27" i="1" a="1"/>
  <c r="P27" i="1" a="1"/>
  <c r="R27" i="1" a="1"/>
  <c r="T27" i="1" a="1"/>
  <c r="V27" i="1" a="1"/>
  <c r="X27" i="1" a="1"/>
  <c r="Z27" i="1" a="1"/>
  <c r="AB27" i="1" a="1"/>
  <c r="AD27" i="1" a="1"/>
  <c r="AF27" i="1" a="1"/>
  <c r="H28" i="1" a="1"/>
  <c r="K28" i="1" a="1"/>
  <c r="P28" i="1" a="1"/>
  <c r="S28" i="1" a="1"/>
  <c r="X28" i="1" a="1"/>
  <c r="AA28" i="1" a="1"/>
  <c r="AF28" i="1" a="1"/>
  <c r="D29" i="1" a="1"/>
  <c r="I29" i="1" a="1"/>
  <c r="L29" i="1" a="1"/>
  <c r="Q29" i="1" a="1"/>
  <c r="T29" i="1" a="1"/>
  <c r="Y29" i="1" a="1"/>
  <c r="AB29" i="1" a="1"/>
  <c r="AG29" i="1" a="1"/>
  <c r="E30" i="1" a="1"/>
  <c r="J30" i="1" a="1"/>
  <c r="M30" i="1" a="1"/>
  <c r="R30" i="1" a="1"/>
  <c r="U30" i="1" a="1"/>
  <c r="Z30" i="1" a="1"/>
  <c r="AC30" i="1" a="1"/>
  <c r="F31" i="1" a="1"/>
  <c r="K31" i="1" a="1"/>
  <c r="N31" i="1" a="1"/>
  <c r="S31" i="1" a="1"/>
  <c r="U31" i="1" a="1"/>
  <c r="W31" i="1" a="1"/>
  <c r="Y31" i="1" a="1"/>
  <c r="AA31" i="1" a="1"/>
  <c r="AC31" i="1" a="1"/>
  <c r="AE31" i="1" a="1"/>
  <c r="AG31" i="1" a="1"/>
  <c r="D32" i="1" a="1"/>
  <c r="F32" i="1" a="1"/>
  <c r="H32" i="1" a="1"/>
  <c r="J32" i="1" a="1"/>
  <c r="L32" i="1" a="1"/>
  <c r="N32" i="1" a="1"/>
  <c r="P32" i="1" a="1"/>
  <c r="R32" i="1" a="1"/>
  <c r="T32" i="1" a="1"/>
  <c r="V32" i="1" a="1"/>
  <c r="X32" i="1" a="1"/>
  <c r="Z32" i="1" a="1"/>
  <c r="AB32" i="1" a="1"/>
  <c r="AD32" i="1" a="1"/>
  <c r="AF32" i="1" a="1"/>
  <c r="E33" i="1" a="1"/>
  <c r="G33" i="1" a="1"/>
  <c r="I33" i="1" a="1"/>
  <c r="K33" i="1" a="1"/>
  <c r="M33" i="1" a="1"/>
  <c r="O33" i="1" a="1"/>
  <c r="Q33" i="1" a="1"/>
  <c r="S33" i="1" a="1"/>
  <c r="U33" i="1" a="1"/>
  <c r="W33" i="1" a="1"/>
  <c r="Y33" i="1" a="1"/>
  <c r="AA33" i="1" a="1"/>
  <c r="AC33" i="1" a="1"/>
  <c r="AE33" i="1" a="1"/>
  <c r="D34" i="1" a="1"/>
  <c r="F34" i="1" a="1"/>
  <c r="H34" i="1" a="1"/>
  <c r="J34" i="1" a="1"/>
  <c r="L34" i="1" a="1"/>
  <c r="N34" i="1" a="1"/>
  <c r="P34" i="1" a="1"/>
  <c r="R34" i="1" a="1"/>
  <c r="T34" i="1" a="1"/>
  <c r="V34" i="1" a="1"/>
  <c r="X34" i="1" a="1"/>
  <c r="Z34" i="1" a="1"/>
  <c r="AB34" i="1" a="1"/>
  <c r="AD34" i="1" a="1"/>
  <c r="AF34" i="1" a="1"/>
  <c r="AH34" i="1" a="1"/>
  <c r="E35" i="1" a="1"/>
  <c r="G35" i="1" a="1"/>
  <c r="I35" i="1" a="1"/>
  <c r="K35" i="1" a="1"/>
  <c r="M35" i="1" a="1"/>
  <c r="O35" i="1" a="1"/>
  <c r="Q35" i="1" a="1"/>
  <c r="S35" i="1" a="1"/>
  <c r="U35" i="1" a="1"/>
  <c r="W35" i="1" a="1"/>
  <c r="Y35" i="1" a="1"/>
  <c r="AA35" i="1" a="1"/>
  <c r="AC35" i="1" a="1"/>
  <c r="F28" i="1" a="1"/>
  <c r="I28" i="1" a="1"/>
  <c r="N28" i="1" a="1"/>
  <c r="Q28" i="1" a="1"/>
  <c r="V28" i="1" a="1"/>
  <c r="Y28" i="1" a="1"/>
  <c r="AD28" i="1" a="1"/>
  <c r="AG28" i="1" a="1"/>
  <c r="G29" i="1" a="1"/>
  <c r="J29" i="1" a="1"/>
  <c r="O29" i="1" a="1"/>
  <c r="R29" i="1" a="1"/>
  <c r="W29" i="1" a="1"/>
  <c r="Z29" i="1" a="1"/>
  <c r="AE29" i="1" a="1"/>
  <c r="AH29" i="1" a="1"/>
  <c r="H30" i="1" a="1"/>
  <c r="K30" i="1" a="1"/>
  <c r="P30" i="1" a="1"/>
  <c r="S30" i="1" a="1"/>
  <c r="X30" i="1" a="1"/>
  <c r="AA30" i="1" a="1"/>
  <c r="AF30" i="1" a="1"/>
  <c r="D31" i="1" a="1"/>
  <c r="I31" i="1" a="1"/>
  <c r="L31" i="1" a="1"/>
  <c r="Q31" i="1" a="1"/>
  <c r="Y34" i="1" a="1"/>
  <c r="AG34" i="1" a="1"/>
  <c r="F35" i="1" a="1"/>
  <c r="J35" i="1" a="1"/>
  <c r="N35" i="1" a="1"/>
  <c r="R35" i="1" a="1"/>
  <c r="V35" i="1" a="1"/>
  <c r="Z35" i="1" a="1"/>
  <c r="AD35" i="1" a="1"/>
  <c r="G36" i="1" a="1"/>
  <c r="M36" i="1" a="1"/>
  <c r="O36" i="1" a="1"/>
  <c r="S36" i="1" a="1"/>
  <c r="W36" i="1" a="1"/>
  <c r="AC36" i="1" a="1"/>
  <c r="AE36" i="1" a="1"/>
  <c r="G28" i="1" a="1"/>
  <c r="L28" i="1" a="1"/>
  <c r="O28" i="1" a="1"/>
  <c r="T28" i="1" a="1"/>
  <c r="W28" i="1" a="1"/>
  <c r="AB28" i="1" a="1"/>
  <c r="AE28" i="1" a="1"/>
  <c r="E29" i="1" a="1"/>
  <c r="H29" i="1" a="1"/>
  <c r="M29" i="1" a="1"/>
  <c r="P29" i="1" a="1"/>
  <c r="U29" i="1" a="1"/>
  <c r="X29" i="1" a="1"/>
  <c r="AC29" i="1" a="1"/>
  <c r="AF29" i="1" a="1"/>
  <c r="F30" i="1" a="1"/>
  <c r="I30" i="1" a="1"/>
  <c r="N30" i="1" a="1"/>
  <c r="Q30" i="1" a="1"/>
  <c r="V30" i="1" a="1"/>
  <c r="Y30" i="1" a="1"/>
  <c r="AD30" i="1" a="1"/>
  <c r="AG30" i="1" a="1"/>
  <c r="G31" i="1" a="1"/>
  <c r="J31" i="1" a="1"/>
  <c r="O31" i="1" a="1"/>
  <c r="R31" i="1" a="1"/>
  <c r="T31" i="1" a="1"/>
  <c r="V31" i="1" a="1"/>
  <c r="X31" i="1" a="1"/>
  <c r="Z31" i="1" a="1"/>
  <c r="AB31" i="1" a="1"/>
  <c r="AD31" i="1" a="1"/>
  <c r="AF31" i="1" a="1"/>
  <c r="AH31" i="1" a="1"/>
  <c r="E32" i="1" a="1"/>
  <c r="G32" i="1" a="1"/>
  <c r="I32" i="1" a="1"/>
  <c r="K32" i="1" a="1"/>
  <c r="M32" i="1" a="1"/>
  <c r="O32" i="1" a="1"/>
  <c r="Q32" i="1" a="1"/>
  <c r="S32" i="1" a="1"/>
  <c r="U32" i="1" a="1"/>
  <c r="W32" i="1" a="1"/>
  <c r="Y32" i="1" a="1"/>
  <c r="AA32" i="1" a="1"/>
  <c r="AC32" i="1" a="1"/>
  <c r="AE32" i="1" a="1"/>
  <c r="AG32" i="1" a="1"/>
  <c r="D33" i="1" a="1"/>
  <c r="F33" i="1" a="1"/>
  <c r="H33" i="1" a="1"/>
  <c r="J33" i="1" a="1"/>
  <c r="L33" i="1" a="1"/>
  <c r="N33" i="1" a="1"/>
  <c r="P33" i="1" a="1"/>
  <c r="R33" i="1" a="1"/>
  <c r="T33" i="1" a="1"/>
  <c r="V33" i="1" a="1"/>
  <c r="X33" i="1" a="1"/>
  <c r="Z33" i="1" a="1"/>
  <c r="AB33" i="1" a="1"/>
  <c r="AD33" i="1" a="1"/>
  <c r="AF33" i="1" a="1"/>
  <c r="E34" i="1" a="1"/>
  <c r="G34" i="1" a="1"/>
  <c r="I34" i="1" a="1"/>
  <c r="K34" i="1" a="1"/>
  <c r="M34" i="1" a="1"/>
  <c r="O34" i="1" a="1"/>
  <c r="Q34" i="1" a="1"/>
  <c r="S34" i="1" a="1"/>
  <c r="U34" i="1" a="1"/>
  <c r="W34" i="1" a="1"/>
  <c r="AA34" i="1" a="1"/>
  <c r="AC34" i="1" a="1"/>
  <c r="AE34" i="1" a="1"/>
  <c r="D35" i="1" a="1"/>
  <c r="H35" i="1" a="1"/>
  <c r="L35" i="1" a="1"/>
  <c r="P35" i="1" a="1"/>
  <c r="T35" i="1" a="1"/>
  <c r="X35" i="1" a="1"/>
  <c r="AB35" i="1" a="1"/>
  <c r="E36" i="1" a="1"/>
  <c r="I36" i="1" a="1"/>
  <c r="K36" i="1" a="1"/>
  <c r="Q36" i="1" a="1"/>
  <c r="U36" i="1" a="1"/>
  <c r="Y36" i="1" a="1"/>
  <c r="AA36" i="1" a="1"/>
  <c r="AG36" i="1" a="1"/>
  <c r="R28" i="1" a="1"/>
  <c r="AC28" i="1" a="1"/>
  <c r="S29" i="1" a="1"/>
  <c r="AD29" i="1" a="1"/>
  <c r="T30" i="1" a="1"/>
  <c r="AE30" i="1" a="1"/>
  <c r="AE35" i="1" a="1"/>
  <c r="D36" i="1" a="1"/>
  <c r="H36" i="1" a="1"/>
  <c r="L36" i="1" a="1"/>
  <c r="P36" i="1" a="1"/>
  <c r="T36" i="1" a="1"/>
  <c r="X36" i="1" a="1"/>
  <c r="AB36" i="1" a="1"/>
  <c r="AF36" i="1" a="1"/>
  <c r="AD36" i="1" a="1"/>
  <c r="E28" i="1" a="1"/>
  <c r="J28" i="1" a="1"/>
  <c r="U28" i="1" a="1"/>
  <c r="K29" i="1" a="1"/>
  <c r="V29" i="1" a="1"/>
  <c r="L30" i="1" a="1"/>
  <c r="W30" i="1" a="1"/>
  <c r="M31" i="1" a="1"/>
  <c r="Z28" i="1" a="1"/>
  <c r="G30" i="1" a="1"/>
  <c r="AB30" i="1" a="1"/>
  <c r="M28" i="1" a="1"/>
  <c r="AH28" i="1" a="1"/>
  <c r="N29" i="1" a="1"/>
  <c r="D30" i="1" a="1"/>
  <c r="O30" i="1" a="1"/>
  <c r="E31" i="1" a="1"/>
  <c r="P31" i="1" a="1"/>
  <c r="F36" i="1" a="1"/>
  <c r="J36" i="1" a="1"/>
  <c r="N36" i="1" a="1"/>
  <c r="R36" i="1" a="1"/>
  <c r="V36" i="1" a="1"/>
  <c r="Z36" i="1" a="1"/>
  <c r="AH36" i="1" a="1"/>
  <c r="F29" i="1" a="1"/>
  <c r="AA29" i="1" a="1"/>
  <c r="H31" i="1" a="1"/>
  <c r="E25" i="1" a="1"/>
  <c r="G25" i="1" a="1"/>
  <c r="I25" i="1" a="1"/>
  <c r="K25" i="1" a="1"/>
  <c r="M25" i="1" a="1"/>
  <c r="O25" i="1" a="1"/>
  <c r="Q25" i="1" a="1"/>
  <c r="S25" i="1" a="1"/>
  <c r="U25" i="1" a="1"/>
  <c r="W25" i="1" a="1"/>
  <c r="Y25" i="1" a="1"/>
  <c r="AA25" i="1" a="1"/>
  <c r="AC25" i="1" a="1"/>
  <c r="AE25" i="1" a="1"/>
  <c r="AG25" i="1" a="1"/>
  <c r="H25" i="1" a="1"/>
  <c r="J25" i="1" a="1"/>
  <c r="L25" i="1" a="1"/>
  <c r="N25" i="1" a="1"/>
  <c r="P25" i="1" a="1"/>
  <c r="R25" i="1" a="1"/>
  <c r="T25" i="1" a="1"/>
  <c r="V25" i="1" a="1"/>
  <c r="X25" i="1" a="1"/>
  <c r="Z25" i="1" a="1"/>
  <c r="AB25" i="1" a="1"/>
  <c r="AD25" i="1" a="1"/>
  <c r="AF25" i="1" a="1"/>
  <c r="F25" i="1" a="1"/>
  <c r="D25" i="1" a="1"/>
  <c r="H31" i="1" l="1"/>
  <c r="AA29" i="1"/>
  <c r="F29" i="1"/>
  <c r="AH36" i="1"/>
  <c r="Z36" i="1"/>
  <c r="V36" i="1"/>
  <c r="R36" i="1"/>
  <c r="N36" i="1"/>
  <c r="J36" i="1"/>
  <c r="F36" i="1"/>
  <c r="P31" i="1"/>
  <c r="E31" i="1"/>
  <c r="O30" i="1"/>
  <c r="D30" i="1"/>
  <c r="N29" i="1"/>
  <c r="AH28" i="1"/>
  <c r="M28" i="1"/>
  <c r="AB30" i="1"/>
  <c r="G30" i="1"/>
  <c r="Z28" i="1"/>
  <c r="M31" i="1"/>
  <c r="W30" i="1"/>
  <c r="L30" i="1"/>
  <c r="V29" i="1"/>
  <c r="K29" i="1"/>
  <c r="U28" i="1"/>
  <c r="J28" i="1"/>
  <c r="E28" i="1"/>
  <c r="AD36" i="1"/>
  <c r="AF36" i="1"/>
  <c r="AB36" i="1"/>
  <c r="X36" i="1"/>
  <c r="T36" i="1"/>
  <c r="P36" i="1"/>
  <c r="L36" i="1"/>
  <c r="H36" i="1"/>
  <c r="D36" i="1"/>
  <c r="AE35" i="1"/>
  <c r="AE30" i="1"/>
  <c r="T30" i="1"/>
  <c r="AD29" i="1"/>
  <c r="S29" i="1"/>
  <c r="AC28" i="1"/>
  <c r="R28" i="1"/>
  <c r="AG36" i="1"/>
  <c r="AA36" i="1"/>
  <c r="Y36" i="1"/>
  <c r="U36" i="1"/>
  <c r="Q36" i="1"/>
  <c r="K36" i="1"/>
  <c r="I36" i="1"/>
  <c r="E36" i="1"/>
  <c r="AB35" i="1"/>
  <c r="X35" i="1"/>
  <c r="T35" i="1"/>
  <c r="P35" i="1"/>
  <c r="L35" i="1"/>
  <c r="H35" i="1"/>
  <c r="D35" i="1"/>
  <c r="AE34" i="1"/>
  <c r="AC34" i="1"/>
  <c r="AA34" i="1"/>
  <c r="W34" i="1"/>
  <c r="U34" i="1"/>
  <c r="S34" i="1"/>
  <c r="Q34" i="1"/>
  <c r="O34" i="1"/>
  <c r="M34" i="1"/>
  <c r="K34" i="1"/>
  <c r="I34" i="1"/>
  <c r="G34" i="1"/>
  <c r="E34" i="1"/>
  <c r="AF33" i="1"/>
  <c r="AD33" i="1"/>
  <c r="AB33" i="1"/>
  <c r="Z33" i="1"/>
  <c r="X33" i="1"/>
  <c r="V33" i="1"/>
  <c r="T33" i="1"/>
  <c r="R33" i="1"/>
  <c r="P33" i="1"/>
  <c r="N33" i="1"/>
  <c r="L33" i="1"/>
  <c r="J33" i="1"/>
  <c r="H33" i="1"/>
  <c r="F33" i="1"/>
  <c r="D33" i="1"/>
  <c r="AG32" i="1"/>
  <c r="AE32" i="1"/>
  <c r="AC32" i="1"/>
  <c r="AA32" i="1"/>
  <c r="Y32" i="1"/>
  <c r="W32" i="1"/>
  <c r="U32" i="1"/>
  <c r="S32" i="1"/>
  <c r="Q32" i="1"/>
  <c r="O32" i="1"/>
  <c r="M32" i="1"/>
  <c r="K32" i="1"/>
  <c r="I32" i="1"/>
  <c r="G32" i="1"/>
  <c r="E32" i="1"/>
  <c r="AH31" i="1"/>
  <c r="AF31" i="1"/>
  <c r="AD31" i="1"/>
  <c r="AB31" i="1"/>
  <c r="Z31" i="1"/>
  <c r="X31" i="1"/>
  <c r="V31" i="1"/>
  <c r="T31" i="1"/>
  <c r="R31" i="1"/>
  <c r="O31" i="1"/>
  <c r="J31" i="1"/>
  <c r="G31" i="1"/>
  <c r="AG30" i="1"/>
  <c r="AD30" i="1"/>
  <c r="Y30" i="1"/>
  <c r="V30" i="1"/>
  <c r="Q30" i="1"/>
  <c r="N30" i="1"/>
  <c r="I30" i="1"/>
  <c r="F30" i="1"/>
  <c r="AF29" i="1"/>
  <c r="AC29" i="1"/>
  <c r="X29" i="1"/>
  <c r="U29" i="1"/>
  <c r="P29" i="1"/>
  <c r="M29" i="1"/>
  <c r="H29" i="1"/>
  <c r="E29" i="1"/>
  <c r="AE28" i="1"/>
  <c r="AB28" i="1"/>
  <c r="W28" i="1"/>
  <c r="T28" i="1"/>
  <c r="O28" i="1"/>
  <c r="L28" i="1"/>
  <c r="G28" i="1"/>
  <c r="AE36" i="1"/>
  <c r="AC36" i="1"/>
  <c r="W36" i="1"/>
  <c r="S36" i="1"/>
  <c r="O36" i="1"/>
  <c r="M36" i="1"/>
  <c r="G36" i="1"/>
  <c r="AD35" i="1"/>
  <c r="Z35" i="1"/>
  <c r="V35" i="1"/>
  <c r="R35" i="1"/>
  <c r="N35" i="1"/>
  <c r="J35" i="1"/>
  <c r="F35" i="1"/>
  <c r="AG34" i="1"/>
  <c r="Y34" i="1"/>
  <c r="Q31" i="1"/>
  <c r="L31" i="1"/>
  <c r="I31" i="1"/>
  <c r="D31" i="1"/>
  <c r="AF30" i="1"/>
  <c r="AA30" i="1"/>
  <c r="X30" i="1"/>
  <c r="S30" i="1"/>
  <c r="P30" i="1"/>
  <c r="K30" i="1"/>
  <c r="H30" i="1"/>
  <c r="AH29" i="1"/>
  <c r="AE29" i="1"/>
  <c r="Z29" i="1"/>
  <c r="W29" i="1"/>
  <c r="R29" i="1"/>
  <c r="O29" i="1"/>
  <c r="J29" i="1"/>
  <c r="G29" i="1"/>
  <c r="AG28" i="1"/>
  <c r="AD28" i="1"/>
  <c r="Y28" i="1"/>
  <c r="V28" i="1"/>
  <c r="Q28" i="1"/>
  <c r="N28" i="1"/>
  <c r="I28" i="1"/>
  <c r="F28" i="1"/>
  <c r="AC35" i="1"/>
  <c r="AA35" i="1"/>
  <c r="Y35" i="1"/>
  <c r="W35" i="1"/>
  <c r="U35" i="1"/>
  <c r="S35" i="1"/>
  <c r="Q35" i="1"/>
  <c r="O35" i="1"/>
  <c r="M35" i="1"/>
  <c r="K35" i="1"/>
  <c r="I35" i="1"/>
  <c r="G35" i="1"/>
  <c r="E35" i="1"/>
  <c r="AH34" i="1"/>
  <c r="AF34" i="1"/>
  <c r="AD34" i="1"/>
  <c r="AB34" i="1"/>
  <c r="Z34" i="1"/>
  <c r="X34" i="1"/>
  <c r="V34" i="1"/>
  <c r="T34" i="1"/>
  <c r="R34" i="1"/>
  <c r="P34" i="1"/>
  <c r="N34" i="1"/>
  <c r="L34" i="1"/>
  <c r="J34" i="1"/>
  <c r="H34" i="1"/>
  <c r="F34" i="1"/>
  <c r="D34" i="1"/>
  <c r="AE33" i="1"/>
  <c r="AC33" i="1"/>
  <c r="AA33" i="1"/>
  <c r="Y33" i="1"/>
  <c r="W33" i="1"/>
  <c r="U33" i="1"/>
  <c r="S33" i="1"/>
  <c r="Q33" i="1"/>
  <c r="O33" i="1"/>
  <c r="M33" i="1"/>
  <c r="K33" i="1"/>
  <c r="I33" i="1"/>
  <c r="G33" i="1"/>
  <c r="E33" i="1"/>
  <c r="AF32" i="1"/>
  <c r="AD32" i="1"/>
  <c r="AB32" i="1"/>
  <c r="Z32" i="1"/>
  <c r="X32" i="1"/>
  <c r="V32" i="1"/>
  <c r="T32" i="1"/>
  <c r="R32" i="1"/>
  <c r="P32" i="1"/>
  <c r="N32" i="1"/>
  <c r="L32" i="1"/>
  <c r="J32" i="1"/>
  <c r="H32" i="1"/>
  <c r="F32" i="1"/>
  <c r="D32" i="1"/>
  <c r="AG31" i="1"/>
  <c r="AE31" i="1"/>
  <c r="AC31" i="1"/>
  <c r="AA31" i="1"/>
  <c r="Y31" i="1"/>
  <c r="W31" i="1"/>
  <c r="U31" i="1"/>
  <c r="S31" i="1"/>
  <c r="N31" i="1"/>
  <c r="K31" i="1"/>
  <c r="F31" i="1"/>
  <c r="AC30" i="1"/>
  <c r="Z30" i="1"/>
  <c r="U30" i="1"/>
  <c r="R30" i="1"/>
  <c r="M30" i="1"/>
  <c r="J30" i="1"/>
  <c r="E30" i="1"/>
  <c r="AG29" i="1"/>
  <c r="AB29" i="1"/>
  <c r="Y29" i="1"/>
  <c r="T29" i="1"/>
  <c r="Q29" i="1"/>
  <c r="L29" i="1"/>
  <c r="I29" i="1"/>
  <c r="D29" i="1"/>
  <c r="AF28" i="1"/>
  <c r="AA28" i="1"/>
  <c r="X28" i="1"/>
  <c r="S28" i="1"/>
  <c r="P28" i="1"/>
  <c r="K28" i="1"/>
  <c r="H28" i="1"/>
  <c r="AF27" i="1"/>
  <c r="AD27" i="1"/>
  <c r="AB27" i="1"/>
  <c r="Z27" i="1"/>
  <c r="X27" i="1"/>
  <c r="V27" i="1"/>
  <c r="T27" i="1"/>
  <c r="R27" i="1"/>
  <c r="P27" i="1"/>
  <c r="N27" i="1"/>
  <c r="L27" i="1"/>
  <c r="J27" i="1"/>
  <c r="H27" i="1"/>
  <c r="F27" i="1"/>
  <c r="D27" i="1"/>
  <c r="AG26" i="1"/>
  <c r="AE26" i="1"/>
  <c r="AC26" i="1"/>
  <c r="AA26" i="1"/>
  <c r="Y26" i="1"/>
  <c r="W26" i="1"/>
  <c r="U26" i="1"/>
  <c r="S26" i="1"/>
  <c r="Q26" i="1"/>
  <c r="O26" i="1"/>
  <c r="M26" i="1"/>
  <c r="K26" i="1"/>
  <c r="I26" i="1"/>
  <c r="G26" i="1"/>
  <c r="E26" i="1"/>
  <c r="D28" i="1"/>
  <c r="AG27" i="1"/>
  <c r="AE27" i="1"/>
  <c r="AC27" i="1"/>
  <c r="AA27" i="1"/>
  <c r="Y27" i="1"/>
  <c r="W27" i="1"/>
  <c r="U27" i="1"/>
  <c r="S27" i="1"/>
  <c r="Q27" i="1"/>
  <c r="O27" i="1"/>
  <c r="M27" i="1"/>
  <c r="K27" i="1"/>
  <c r="I27" i="1"/>
  <c r="G27" i="1"/>
  <c r="E27" i="1"/>
  <c r="AH26" i="1"/>
  <c r="AF26" i="1"/>
  <c r="AD26" i="1"/>
  <c r="AB26" i="1"/>
  <c r="Z26" i="1"/>
  <c r="X26" i="1"/>
  <c r="V26" i="1"/>
  <c r="T26" i="1"/>
  <c r="R26" i="1"/>
  <c r="P26" i="1"/>
  <c r="N26" i="1"/>
  <c r="L26" i="1"/>
  <c r="J26" i="1"/>
  <c r="H26" i="1"/>
  <c r="F26" i="1"/>
  <c r="D26" i="1"/>
  <c r="F25" i="1"/>
  <c r="AF25" i="1"/>
  <c r="AD25" i="1"/>
  <c r="AB25" i="1"/>
  <c r="Z25" i="1"/>
  <c r="X25" i="1"/>
  <c r="V25" i="1"/>
  <c r="T25" i="1"/>
  <c r="R25" i="1"/>
  <c r="P25" i="1"/>
  <c r="N25" i="1"/>
  <c r="L25" i="1"/>
  <c r="J25" i="1"/>
  <c r="H25" i="1"/>
  <c r="AG25" i="1"/>
  <c r="AE25" i="1"/>
  <c r="AC25" i="1"/>
  <c r="AA25" i="1"/>
  <c r="Y25" i="1"/>
  <c r="W25" i="1"/>
  <c r="U25" i="1"/>
  <c r="S25" i="1"/>
  <c r="Q25" i="1"/>
  <c r="O25" i="1"/>
  <c r="M25" i="1"/>
  <c r="K25" i="1"/>
  <c r="I25" i="1"/>
  <c r="G25" i="1"/>
  <c r="E25" i="1"/>
  <c r="D25" i="1"/>
  <c r="OL9" i="2"/>
  <c r="LQ4" i="2"/>
  <c r="EP11" i="2"/>
  <c r="LS11" i="2"/>
  <c r="OJ8" i="2"/>
  <c r="OM7" i="2"/>
  <c r="HK4" i="2"/>
  <c r="OK8" i="2"/>
  <c r="HN9" i="2"/>
  <c r="LR11" i="2"/>
  <c r="NB11" i="2"/>
  <c r="OM10" i="2"/>
  <c r="A4" i="2"/>
  <c r="NB4" i="2"/>
  <c r="BU4" i="2"/>
  <c r="GA4" i="2"/>
  <c r="IW9" i="2"/>
  <c r="OJ7" i="2"/>
  <c r="IY8" i="2"/>
  <c r="NC9" i="2"/>
  <c r="OM11" i="2"/>
  <c r="OL10" i="2"/>
  <c r="OK9" i="2"/>
  <c r="EQ10" i="2"/>
  <c r="IV11" i="2"/>
  <c r="KF9" i="2"/>
  <c r="KH8" i="2"/>
  <c r="LR10" i="2"/>
  <c r="LR7" i="2"/>
  <c r="ND11" i="2"/>
  <c r="NE8" i="2"/>
  <c r="OJ10" i="2"/>
  <c r="OL11" i="2"/>
  <c r="OK10" i="2"/>
  <c r="OM8" i="2"/>
  <c r="OL7" i="2"/>
  <c r="DE4" i="2"/>
  <c r="IV4" i="2"/>
  <c r="HN8" i="2"/>
  <c r="HM11" i="2"/>
  <c r="IW11" i="2"/>
  <c r="KF8" i="2"/>
  <c r="KG7" i="2"/>
  <c r="LT9" i="2"/>
  <c r="ND10" i="2"/>
  <c r="NE7" i="2"/>
  <c r="OJ9" i="2"/>
  <c r="OK11" i="2"/>
  <c r="OM9" i="2"/>
  <c r="OL8" i="2"/>
  <c r="OK7" i="2"/>
  <c r="EP4" i="2"/>
  <c r="KF4" i="2"/>
  <c r="NE11" i="2"/>
  <c r="OJ4" i="2"/>
  <c r="AK4" i="2"/>
  <c r="LQ10" i="2"/>
  <c r="LS7" i="2"/>
  <c r="KF7" i="2"/>
  <c r="KI10" i="2"/>
  <c r="KH9" i="2"/>
  <c r="KG8" i="2"/>
  <c r="LQ9" i="2"/>
  <c r="AL11" i="2"/>
  <c r="BV11" i="2" s="1"/>
  <c r="DF11" i="2" s="1"/>
  <c r="HL11" i="2"/>
  <c r="HM8" i="2"/>
  <c r="IY11" i="2"/>
  <c r="IW10" i="2"/>
  <c r="IX8" i="2"/>
  <c r="KF11" i="2"/>
  <c r="KI11" i="2"/>
  <c r="KH10" i="2"/>
  <c r="KG9" i="2"/>
  <c r="KI7" i="2"/>
  <c r="LQ7" i="2"/>
  <c r="LQ8" i="2"/>
  <c r="LT10" i="2"/>
  <c r="LS9" i="2"/>
  <c r="LR8" i="2"/>
  <c r="NB9" i="2"/>
  <c r="NC11" i="2"/>
  <c r="NE9" i="2"/>
  <c r="ND8" i="2"/>
  <c r="NC7" i="2"/>
  <c r="IX10" i="2"/>
  <c r="NB10" i="2"/>
  <c r="ND7" i="2"/>
  <c r="AM11" i="2"/>
  <c r="BW11" i="2" s="1"/>
  <c r="DG11" i="2" s="1"/>
  <c r="GA11" i="2"/>
  <c r="HL10" i="2"/>
  <c r="HL7" i="2"/>
  <c r="IX11" i="2"/>
  <c r="IY9" i="2"/>
  <c r="IY7" i="2"/>
  <c r="KF10" i="2"/>
  <c r="KH11" i="2"/>
  <c r="KG10" i="2"/>
  <c r="KI8" i="2"/>
  <c r="KH7" i="2"/>
  <c r="LQ11" i="2"/>
  <c r="LT11" i="2"/>
  <c r="LS10" i="2"/>
  <c r="LR9" i="2"/>
  <c r="LT7" i="2"/>
  <c r="NB7" i="2"/>
  <c r="NB8" i="2"/>
  <c r="NE10" i="2"/>
  <c r="ND9" i="2"/>
  <c r="NC8" i="2"/>
  <c r="GC7" i="2"/>
  <c r="HK10" i="2"/>
  <c r="HM7" i="2"/>
  <c r="HK9" i="2"/>
  <c r="IV10" i="2"/>
  <c r="IX7" i="2"/>
  <c r="AK8" i="2"/>
  <c r="BU8" i="2" s="1"/>
  <c r="DE8" i="2" s="1"/>
  <c r="AN10" i="2"/>
  <c r="BX10" i="2" s="1"/>
  <c r="DH10" i="2" s="1"/>
  <c r="ER7" i="2"/>
  <c r="EP10" i="2"/>
  <c r="GA10" i="2"/>
  <c r="HK7" i="2"/>
  <c r="HK8" i="2"/>
  <c r="HN10" i="2"/>
  <c r="HM9" i="2"/>
  <c r="HL8" i="2"/>
  <c r="IW7" i="2"/>
  <c r="AN7" i="2"/>
  <c r="BX7" i="2" s="1"/>
  <c r="DH7" i="2" s="1"/>
  <c r="EQ11" i="2"/>
  <c r="EQ8" i="2"/>
  <c r="GD7" i="2"/>
  <c r="HN7" i="2"/>
  <c r="IV8" i="2"/>
  <c r="IY10" i="2"/>
  <c r="IX9" i="2"/>
  <c r="IW8" i="2"/>
  <c r="GA7" i="2"/>
  <c r="EP7" i="2"/>
  <c r="AK9" i="2"/>
  <c r="BU9" i="2" s="1"/>
  <c r="DE9" i="2" s="1"/>
  <c r="EP9" i="2"/>
  <c r="GA9" i="2"/>
  <c r="ES11" i="2"/>
  <c r="GD11" i="2"/>
  <c r="AL9" i="2"/>
  <c r="BV9" i="2" s="1"/>
  <c r="DF9" i="2" s="1"/>
  <c r="GB9" i="2"/>
  <c r="EQ9" i="2"/>
  <c r="AN11" i="2"/>
  <c r="BX11" i="2" s="1"/>
  <c r="DH11" i="2" s="1"/>
  <c r="ER10" i="2"/>
  <c r="AM10" i="2"/>
  <c r="BW10" i="2" s="1"/>
  <c r="DG10" i="2" s="1"/>
  <c r="GC10" i="2"/>
  <c r="AK7" i="2"/>
  <c r="BU7" i="2" s="1"/>
  <c r="DE7" i="2" s="1"/>
  <c r="AL10" i="2"/>
  <c r="BV10" i="2" s="1"/>
  <c r="DF10" i="2" s="1"/>
  <c r="EQ7" i="2"/>
  <c r="E5" i="2"/>
  <c r="AM9" i="2"/>
  <c r="BW9" i="2" s="1"/>
  <c r="DG9" i="2" s="1"/>
  <c r="AN9" i="2"/>
  <c r="BX9" i="2" s="1"/>
  <c r="DH9" i="2" s="1"/>
  <c r="ES10" i="2"/>
  <c r="ES9" i="2"/>
  <c r="ES8" i="2"/>
  <c r="GC8" i="2"/>
  <c r="GB7" i="2"/>
  <c r="EP8" i="2"/>
  <c r="GC11" i="2"/>
  <c r="GD8" i="2"/>
  <c r="AL8" i="2"/>
  <c r="BV8" i="2" s="1"/>
  <c r="DF8" i="2" s="1"/>
  <c r="AM8" i="2"/>
  <c r="BW8" i="2" s="1"/>
  <c r="DG8" i="2" s="1"/>
  <c r="ER9" i="2"/>
  <c r="OP6" i="2"/>
  <c r="OO5" i="2"/>
  <c r="ON5" i="2"/>
  <c r="NH6" i="2"/>
  <c r="NG5" i="2"/>
  <c r="NF5" i="2"/>
  <c r="LW6" i="2"/>
  <c r="LV5" i="2"/>
  <c r="LU5" i="2"/>
  <c r="KL6" i="2"/>
  <c r="KK5" i="2"/>
  <c r="KJ5" i="2"/>
  <c r="JB6" i="2"/>
  <c r="JA5" i="2"/>
  <c r="IZ5" i="2"/>
  <c r="HQ6" i="2"/>
  <c r="HP5" i="2"/>
  <c r="HO5" i="2"/>
  <c r="GG6" i="2"/>
  <c r="GF5" i="2"/>
  <c r="GE5" i="2"/>
  <c r="EV6" i="2"/>
  <c r="EU5" i="2"/>
  <c r="ET5" i="2"/>
  <c r="DK6" i="2"/>
  <c r="DJ5" i="2"/>
  <c r="DI5" i="2"/>
  <c r="BY5" i="2"/>
  <c r="BZ5" i="2"/>
  <c r="CA6" i="2"/>
  <c r="AQ6" i="2"/>
  <c r="AP5" i="2"/>
  <c r="AO5" i="2"/>
  <c r="H6" i="2"/>
  <c r="G5" i="2"/>
  <c r="F5" i="2"/>
  <c r="D19" i="1" l="1"/>
  <c r="D20" i="1"/>
  <c r="D21" i="1"/>
  <c r="AQ21" i="1" s="1"/>
  <c r="D22" i="1"/>
  <c r="AQ20" i="1" s="1"/>
  <c r="F15" i="1"/>
  <c r="AK22" i="1"/>
  <c r="AK26" i="1"/>
  <c r="AK28" i="1"/>
  <c r="AK21" i="1"/>
  <c r="AK20" i="1"/>
  <c r="AK25" i="1"/>
  <c r="AK23" i="1"/>
  <c r="AK19" i="1"/>
  <c r="AK27" i="1"/>
  <c r="AK24" i="1"/>
  <c r="AK29" i="1"/>
  <c r="AK18" i="1"/>
  <c r="AV19" i="1" s="1"/>
  <c r="OQ6" i="2"/>
  <c r="OP5" i="2"/>
  <c r="NI6" i="2"/>
  <c r="NH5" i="2"/>
  <c r="LX6" i="2"/>
  <c r="LW5" i="2"/>
  <c r="KM6" i="2"/>
  <c r="KL5" i="2"/>
  <c r="JC6" i="2"/>
  <c r="JB5" i="2"/>
  <c r="HR6" i="2"/>
  <c r="HQ5" i="2"/>
  <c r="GG5" i="2"/>
  <c r="GH6" i="2"/>
  <c r="EW6" i="2"/>
  <c r="EV5" i="2"/>
  <c r="DK5" i="2"/>
  <c r="DL6" i="2"/>
  <c r="CA5" i="2"/>
  <c r="CB6" i="2"/>
  <c r="AQ5" i="2"/>
  <c r="AR6" i="2"/>
  <c r="H5" i="2"/>
  <c r="I6" i="2"/>
  <c r="J15" i="1" l="1"/>
  <c r="L15" i="1"/>
  <c r="H15" i="1"/>
  <c r="AC21" i="1"/>
  <c r="AC20" i="1"/>
  <c r="AQ19" i="1"/>
  <c r="AQ18" i="1"/>
  <c r="D15" i="1"/>
  <c r="AV20" i="1" s="1"/>
  <c r="AV18" i="1" s="1"/>
  <c r="OR6" i="2"/>
  <c r="OQ5" i="2"/>
  <c r="NJ6" i="2"/>
  <c r="NI5" i="2"/>
  <c r="LY6" i="2"/>
  <c r="LX5" i="2"/>
  <c r="KN6" i="2"/>
  <c r="KM5" i="2"/>
  <c r="JD6" i="2"/>
  <c r="JC5" i="2"/>
  <c r="HS6" i="2"/>
  <c r="HR5" i="2"/>
  <c r="GI6" i="2"/>
  <c r="GH5" i="2"/>
  <c r="EW5" i="2"/>
  <c r="EX6" i="2"/>
  <c r="DL5" i="2"/>
  <c r="DM6" i="2"/>
  <c r="CB5" i="2"/>
  <c r="CC6" i="2"/>
  <c r="AR5" i="2"/>
  <c r="AS6" i="2"/>
  <c r="J6" i="2"/>
  <c r="I5" i="2"/>
  <c r="AQ25" i="1" l="1"/>
  <c r="OS6" i="2"/>
  <c r="OR5" i="2"/>
  <c r="NK6" i="2"/>
  <c r="NJ5" i="2"/>
  <c r="LZ6" i="2"/>
  <c r="LY5" i="2"/>
  <c r="KO6" i="2"/>
  <c r="KN5" i="2"/>
  <c r="JE6" i="2"/>
  <c r="JD5" i="2"/>
  <c r="HT6" i="2"/>
  <c r="HS5" i="2"/>
  <c r="GJ6" i="2"/>
  <c r="GI5" i="2"/>
  <c r="EY6" i="2"/>
  <c r="EX5" i="2"/>
  <c r="DN6" i="2"/>
  <c r="DM5" i="2"/>
  <c r="CD6" i="2"/>
  <c r="CC5" i="2"/>
  <c r="AT6" i="2"/>
  <c r="AS5" i="2"/>
  <c r="K6" i="2"/>
  <c r="J5" i="2"/>
  <c r="X15" i="1" l="1"/>
  <c r="R15" i="1"/>
  <c r="Z15" i="1"/>
  <c r="V15" i="1"/>
  <c r="P15" i="1"/>
  <c r="T15" i="1"/>
  <c r="OT6" i="2"/>
  <c r="OS5" i="2"/>
  <c r="NL6" i="2"/>
  <c r="NK5" i="2"/>
  <c r="MA6" i="2"/>
  <c r="LZ5" i="2"/>
  <c r="KP6" i="2"/>
  <c r="KO5" i="2"/>
  <c r="JF6" i="2"/>
  <c r="JE5" i="2"/>
  <c r="HU6" i="2"/>
  <c r="HT5" i="2"/>
  <c r="GK6" i="2"/>
  <c r="GJ5" i="2"/>
  <c r="EZ6" i="2"/>
  <c r="EY5" i="2"/>
  <c r="DN5" i="2"/>
  <c r="DO6" i="2"/>
  <c r="CE6" i="2"/>
  <c r="CD5" i="2"/>
  <c r="AU6" i="2"/>
  <c r="AT5" i="2"/>
  <c r="L6" i="2"/>
  <c r="K5" i="2"/>
  <c r="N15" i="1" l="1"/>
  <c r="AC22" i="1"/>
  <c r="AC19" i="1"/>
  <c r="OT5" i="2"/>
  <c r="OU6" i="2"/>
  <c r="NM6" i="2"/>
  <c r="NL5" i="2"/>
  <c r="MA5" i="2"/>
  <c r="MB6" i="2"/>
  <c r="KQ6" i="2"/>
  <c r="KP5" i="2"/>
  <c r="JG6" i="2"/>
  <c r="JF5" i="2"/>
  <c r="HV6" i="2"/>
  <c r="HU5" i="2"/>
  <c r="GL6" i="2"/>
  <c r="GK5" i="2"/>
  <c r="FA6" i="2"/>
  <c r="EZ5" i="2"/>
  <c r="DO5" i="2"/>
  <c r="DP6" i="2"/>
  <c r="CE5" i="2"/>
  <c r="CF6" i="2"/>
  <c r="AU5" i="2"/>
  <c r="AV6" i="2"/>
  <c r="M6" i="2"/>
  <c r="L5" i="2"/>
  <c r="Z8" i="1" l="1"/>
  <c r="Z10" i="1" s="1"/>
  <c r="AC15" i="1"/>
  <c r="OV6" i="2"/>
  <c r="OU5" i="2"/>
  <c r="NN6" i="2"/>
  <c r="NM5" i="2"/>
  <c r="MC6" i="2"/>
  <c r="MB5" i="2"/>
  <c r="KR6" i="2"/>
  <c r="KQ5" i="2"/>
  <c r="JH6" i="2"/>
  <c r="JG5" i="2"/>
  <c r="HW6" i="2"/>
  <c r="HV5" i="2"/>
  <c r="GM6" i="2"/>
  <c r="GL5" i="2"/>
  <c r="FA5" i="2"/>
  <c r="FB6" i="2"/>
  <c r="DP5" i="2"/>
  <c r="DQ6" i="2"/>
  <c r="CF5" i="2"/>
  <c r="CG6" i="2"/>
  <c r="AV5" i="2"/>
  <c r="AW6" i="2"/>
  <c r="N6" i="2"/>
  <c r="M5" i="2"/>
  <c r="OW6" i="2" l="1"/>
  <c r="OV5" i="2"/>
  <c r="NO6" i="2"/>
  <c r="NN5" i="2"/>
  <c r="MD6" i="2"/>
  <c r="MC5" i="2"/>
  <c r="KS6" i="2"/>
  <c r="KR5" i="2"/>
  <c r="JI6" i="2"/>
  <c r="JH5" i="2"/>
  <c r="HX6" i="2"/>
  <c r="HW5" i="2"/>
  <c r="GN6" i="2"/>
  <c r="GM5" i="2"/>
  <c r="FC6" i="2"/>
  <c r="FB5" i="2"/>
  <c r="DR6" i="2"/>
  <c r="DQ5" i="2"/>
  <c r="CH6" i="2"/>
  <c r="CG5" i="2"/>
  <c r="AX6" i="2"/>
  <c r="AW5" i="2"/>
  <c r="O6" i="2"/>
  <c r="N5" i="2"/>
  <c r="OX6" i="2" l="1"/>
  <c r="OW5" i="2"/>
  <c r="NP6" i="2"/>
  <c r="NO5" i="2"/>
  <c r="ME6" i="2"/>
  <c r="MD5" i="2"/>
  <c r="KT6" i="2"/>
  <c r="KS5" i="2"/>
  <c r="JJ6" i="2"/>
  <c r="JI5" i="2"/>
  <c r="HY6" i="2"/>
  <c r="HX5" i="2"/>
  <c r="GO6" i="2"/>
  <c r="GN5" i="2"/>
  <c r="FD6" i="2"/>
  <c r="FC5" i="2"/>
  <c r="DS6" i="2"/>
  <c r="DR5" i="2"/>
  <c r="CH5" i="2"/>
  <c r="CI6" i="2"/>
  <c r="AY6" i="2"/>
  <c r="AX5" i="2"/>
  <c r="P6" i="2"/>
  <c r="O5" i="2"/>
  <c r="OY6" i="2" l="1"/>
  <c r="OX5" i="2"/>
  <c r="NQ6" i="2"/>
  <c r="NP5" i="2"/>
  <c r="MF6" i="2"/>
  <c r="ME5" i="2"/>
  <c r="KU6" i="2"/>
  <c r="KT5" i="2"/>
  <c r="JK6" i="2"/>
  <c r="JJ5" i="2"/>
  <c r="HZ6" i="2"/>
  <c r="HY5" i="2"/>
  <c r="GO5" i="2"/>
  <c r="GP6" i="2"/>
  <c r="FE6" i="2"/>
  <c r="FD5" i="2"/>
  <c r="DS5" i="2"/>
  <c r="DT6" i="2"/>
  <c r="CI5" i="2"/>
  <c r="CJ6" i="2"/>
  <c r="AY5" i="2"/>
  <c r="AZ6" i="2"/>
  <c r="Q6" i="2"/>
  <c r="P5" i="2"/>
  <c r="OZ6" i="2" l="1"/>
  <c r="OY5" i="2"/>
  <c r="NR6" i="2"/>
  <c r="NQ5" i="2"/>
  <c r="MG6" i="2"/>
  <c r="MF5" i="2"/>
  <c r="KV6" i="2"/>
  <c r="KU5" i="2"/>
  <c r="JL6" i="2"/>
  <c r="JK5" i="2"/>
  <c r="HZ5" i="2"/>
  <c r="IA6" i="2"/>
  <c r="GQ6" i="2"/>
  <c r="GP5" i="2"/>
  <c r="FE5" i="2"/>
  <c r="FF6" i="2"/>
  <c r="DT5" i="2"/>
  <c r="DU6" i="2"/>
  <c r="CJ5" i="2"/>
  <c r="CK6" i="2"/>
  <c r="AZ5" i="2"/>
  <c r="BA6" i="2"/>
  <c r="R6" i="2"/>
  <c r="Q5" i="2"/>
  <c r="OZ5" i="2" l="1"/>
  <c r="PA6" i="2"/>
  <c r="NS6" i="2"/>
  <c r="NR5" i="2"/>
  <c r="MH6" i="2"/>
  <c r="MG5" i="2"/>
  <c r="KW6" i="2"/>
  <c r="KV5" i="2"/>
  <c r="JM6" i="2"/>
  <c r="JL5" i="2"/>
  <c r="IB6" i="2"/>
  <c r="IA5" i="2"/>
  <c r="GR6" i="2"/>
  <c r="GQ5" i="2"/>
  <c r="FG6" i="2"/>
  <c r="FF5" i="2"/>
  <c r="DV6" i="2"/>
  <c r="DU5" i="2"/>
  <c r="CL6" i="2"/>
  <c r="CK5" i="2"/>
  <c r="BB6" i="2"/>
  <c r="BA5" i="2"/>
  <c r="S6" i="2"/>
  <c r="R5" i="2"/>
  <c r="PB6" i="2" l="1"/>
  <c r="PA5" i="2"/>
  <c r="NT6" i="2"/>
  <c r="NS5" i="2"/>
  <c r="MI6" i="2"/>
  <c r="MH5" i="2"/>
  <c r="KX6" i="2"/>
  <c r="KW5" i="2"/>
  <c r="JN6" i="2"/>
  <c r="JM5" i="2"/>
  <c r="IC6" i="2"/>
  <c r="IB5" i="2"/>
  <c r="GS6" i="2"/>
  <c r="GR5" i="2"/>
  <c r="FH6" i="2"/>
  <c r="FG5" i="2"/>
  <c r="DV5" i="2"/>
  <c r="DW6" i="2"/>
  <c r="CM6" i="2"/>
  <c r="CL5" i="2"/>
  <c r="BC6" i="2"/>
  <c r="BB5" i="2"/>
  <c r="T6" i="2"/>
  <c r="S5" i="2"/>
  <c r="PC6" i="2" l="1"/>
  <c r="PB5" i="2"/>
  <c r="NU6" i="2"/>
  <c r="NT5" i="2"/>
  <c r="MJ6" i="2"/>
  <c r="MI5" i="2"/>
  <c r="KY6" i="2"/>
  <c r="KX5" i="2"/>
  <c r="JO6" i="2"/>
  <c r="JN5" i="2"/>
  <c r="ID6" i="2"/>
  <c r="IC5" i="2"/>
  <c r="GT6" i="2"/>
  <c r="GS5" i="2"/>
  <c r="FI6" i="2"/>
  <c r="FH5" i="2"/>
  <c r="DW5" i="2"/>
  <c r="DX6" i="2"/>
  <c r="CM5" i="2"/>
  <c r="CN6" i="2"/>
  <c r="BC5" i="2"/>
  <c r="BD6" i="2"/>
  <c r="U6" i="2"/>
  <c r="T5" i="2"/>
  <c r="PD6" i="2" l="1"/>
  <c r="PC5" i="2"/>
  <c r="NV6" i="2"/>
  <c r="NU5" i="2"/>
  <c r="MK6" i="2"/>
  <c r="MJ5" i="2"/>
  <c r="KZ6" i="2"/>
  <c r="KY5" i="2"/>
  <c r="JP6" i="2"/>
  <c r="JO5" i="2"/>
  <c r="IE6" i="2"/>
  <c r="ID5" i="2"/>
  <c r="GU6" i="2"/>
  <c r="GT5" i="2"/>
  <c r="FI5" i="2"/>
  <c r="FJ6" i="2"/>
  <c r="DX5" i="2"/>
  <c r="DY6" i="2"/>
  <c r="CN5" i="2"/>
  <c r="CO6" i="2"/>
  <c r="BD5" i="2"/>
  <c r="BE6" i="2"/>
  <c r="V6" i="2"/>
  <c r="U5" i="2"/>
  <c r="PE6" i="2" l="1"/>
  <c r="PD5" i="2"/>
  <c r="NW6" i="2"/>
  <c r="NV5" i="2"/>
  <c r="ML6" i="2"/>
  <c r="MK5" i="2"/>
  <c r="LA6" i="2"/>
  <c r="KZ5" i="2"/>
  <c r="JQ6" i="2"/>
  <c r="JP5" i="2"/>
  <c r="IF6" i="2"/>
  <c r="IE5" i="2"/>
  <c r="GV6" i="2"/>
  <c r="GU5" i="2"/>
  <c r="FK6" i="2"/>
  <c r="FJ5" i="2"/>
  <c r="DZ6" i="2"/>
  <c r="DY5" i="2"/>
  <c r="CP6" i="2"/>
  <c r="CO5" i="2"/>
  <c r="BF6" i="2"/>
  <c r="BE5" i="2"/>
  <c r="W6" i="2"/>
  <c r="V5" i="2"/>
  <c r="PF6" i="2" l="1"/>
  <c r="PE5" i="2"/>
  <c r="NX6" i="2"/>
  <c r="NW5" i="2"/>
  <c r="MM6" i="2"/>
  <c r="ML5" i="2"/>
  <c r="LB6" i="2"/>
  <c r="LA5" i="2"/>
  <c r="JR6" i="2"/>
  <c r="JQ5" i="2"/>
  <c r="IG6" i="2"/>
  <c r="IF5" i="2"/>
  <c r="GW6" i="2"/>
  <c r="GV5" i="2"/>
  <c r="FL6" i="2"/>
  <c r="FK5" i="2"/>
  <c r="EA6" i="2"/>
  <c r="DZ5" i="2"/>
  <c r="CP5" i="2"/>
  <c r="CQ6" i="2"/>
  <c r="BG6" i="2"/>
  <c r="BF5" i="2"/>
  <c r="X6" i="2"/>
  <c r="W5" i="2"/>
  <c r="PF5" i="2" l="1"/>
  <c r="PG6" i="2"/>
  <c r="NY6" i="2"/>
  <c r="NX5" i="2"/>
  <c r="MM5" i="2"/>
  <c r="MN6" i="2"/>
  <c r="LC6" i="2"/>
  <c r="LB5" i="2"/>
  <c r="JS6" i="2"/>
  <c r="JR5" i="2"/>
  <c r="IH6" i="2"/>
  <c r="IG5" i="2"/>
  <c r="GX6" i="2"/>
  <c r="GW5" i="2"/>
  <c r="FM6" i="2"/>
  <c r="FL5" i="2"/>
  <c r="EA5" i="2"/>
  <c r="EB6" i="2"/>
  <c r="CQ5" i="2"/>
  <c r="CR6" i="2"/>
  <c r="BG5" i="2"/>
  <c r="BH6" i="2"/>
  <c r="Y6" i="2"/>
  <c r="X5" i="2"/>
  <c r="PH6" i="2" l="1"/>
  <c r="PG5" i="2"/>
  <c r="NZ6" i="2"/>
  <c r="NY5" i="2"/>
  <c r="MO6" i="2"/>
  <c r="MN5" i="2"/>
  <c r="LD6" i="2"/>
  <c r="LC5" i="2"/>
  <c r="JT6" i="2"/>
  <c r="JS5" i="2"/>
  <c r="IH5" i="2"/>
  <c r="II6" i="2"/>
  <c r="GY6" i="2"/>
  <c r="GX5" i="2"/>
  <c r="FM5" i="2"/>
  <c r="FN6" i="2"/>
  <c r="EB5" i="2"/>
  <c r="EC6" i="2"/>
  <c r="CR5" i="2"/>
  <c r="CS6" i="2"/>
  <c r="BH5" i="2"/>
  <c r="BI6" i="2"/>
  <c r="Z6" i="2"/>
  <c r="AA6" i="2" s="1"/>
  <c r="Y5" i="2"/>
  <c r="PI6" i="2" l="1"/>
  <c r="PH5" i="2"/>
  <c r="OA6" i="2"/>
  <c r="NZ5" i="2"/>
  <c r="MP6" i="2"/>
  <c r="MO5" i="2"/>
  <c r="LE6" i="2"/>
  <c r="LD5" i="2"/>
  <c r="JU6" i="2"/>
  <c r="JT5" i="2"/>
  <c r="IJ6" i="2"/>
  <c r="II5" i="2"/>
  <c r="GZ6" i="2"/>
  <c r="GY5" i="2"/>
  <c r="FO6" i="2"/>
  <c r="FN5" i="2"/>
  <c r="ED6" i="2"/>
  <c r="EC5" i="2"/>
  <c r="CT6" i="2"/>
  <c r="CS5" i="2"/>
  <c r="BJ6" i="2"/>
  <c r="BI5" i="2"/>
  <c r="Z5" i="2"/>
  <c r="PJ6" i="2" l="1"/>
  <c r="PI5" i="2"/>
  <c r="OB6" i="2"/>
  <c r="OA5" i="2"/>
  <c r="MQ6" i="2"/>
  <c r="MP5" i="2"/>
  <c r="LF6" i="2"/>
  <c r="LE5" i="2"/>
  <c r="JV6" i="2"/>
  <c r="JU5" i="2"/>
  <c r="IK6" i="2"/>
  <c r="IJ5" i="2"/>
  <c r="HA6" i="2"/>
  <c r="GZ5" i="2"/>
  <c r="FP6" i="2"/>
  <c r="FO5" i="2"/>
  <c r="ED5" i="2"/>
  <c r="EE6" i="2"/>
  <c r="CT5" i="2"/>
  <c r="CU6" i="2"/>
  <c r="BK6" i="2"/>
  <c r="BJ5" i="2"/>
  <c r="AB6" i="2"/>
  <c r="AC6" i="2" s="1"/>
  <c r="AA5" i="2"/>
  <c r="PK6" i="2" l="1"/>
  <c r="PJ5" i="2"/>
  <c r="OC6" i="2"/>
  <c r="OB5" i="2"/>
  <c r="MQ5" i="2"/>
  <c r="MR6" i="2"/>
  <c r="LG6" i="2"/>
  <c r="LF5" i="2"/>
  <c r="JW6" i="2"/>
  <c r="JV5" i="2"/>
  <c r="IL6" i="2"/>
  <c r="IK5" i="2"/>
  <c r="HA5" i="2"/>
  <c r="HB6" i="2"/>
  <c r="FQ6" i="2"/>
  <c r="FP5" i="2"/>
  <c r="EE5" i="2"/>
  <c r="EF6" i="2"/>
  <c r="CU5" i="2"/>
  <c r="CV6" i="2"/>
  <c r="BK5" i="2"/>
  <c r="BL6" i="2"/>
  <c r="AB5" i="2"/>
  <c r="PL6" i="2" l="1"/>
  <c r="PK5" i="2"/>
  <c r="OD6" i="2"/>
  <c r="OC5" i="2"/>
  <c r="MS6" i="2"/>
  <c r="MR5" i="2"/>
  <c r="LH6" i="2"/>
  <c r="LG5" i="2"/>
  <c r="JX6" i="2"/>
  <c r="JW5" i="2"/>
  <c r="IM6" i="2"/>
  <c r="IL5" i="2"/>
  <c r="HC6" i="2"/>
  <c r="HB5" i="2"/>
  <c r="FQ5" i="2"/>
  <c r="FR6" i="2"/>
  <c r="EF5" i="2"/>
  <c r="EG6" i="2"/>
  <c r="CV5" i="2"/>
  <c r="CW6" i="2"/>
  <c r="BL5" i="2"/>
  <c r="BM6" i="2"/>
  <c r="AD6" i="2"/>
  <c r="AC5" i="2"/>
  <c r="PM6" i="2" l="1"/>
  <c r="PL5" i="2"/>
  <c r="OE6" i="2"/>
  <c r="OD5" i="2"/>
  <c r="MT6" i="2"/>
  <c r="MS5" i="2"/>
  <c r="LI6" i="2"/>
  <c r="LH5" i="2"/>
  <c r="JY6" i="2"/>
  <c r="JX5" i="2"/>
  <c r="IN6" i="2"/>
  <c r="IM5" i="2"/>
  <c r="HD6" i="2"/>
  <c r="HC5" i="2"/>
  <c r="FS6" i="2"/>
  <c r="FR5" i="2"/>
  <c r="EH6" i="2"/>
  <c r="EG5" i="2"/>
  <c r="CX6" i="2"/>
  <c r="CW5" i="2"/>
  <c r="BN6" i="2"/>
  <c r="BM5" i="2"/>
  <c r="AE6" i="2"/>
  <c r="AD5" i="2"/>
  <c r="PN6" i="2" l="1"/>
  <c r="PM5" i="2"/>
  <c r="OF6" i="2"/>
  <c r="OE5" i="2"/>
  <c r="MU6" i="2"/>
  <c r="MT5" i="2"/>
  <c r="LJ6" i="2"/>
  <c r="LI5" i="2"/>
  <c r="JZ6" i="2"/>
  <c r="JY5" i="2"/>
  <c r="IO6" i="2"/>
  <c r="IN5" i="2"/>
  <c r="HE6" i="2"/>
  <c r="HD5" i="2"/>
  <c r="FT6" i="2"/>
  <c r="FS5" i="2"/>
  <c r="EI6" i="2"/>
  <c r="EH5" i="2"/>
  <c r="CX5" i="2"/>
  <c r="CY6" i="2"/>
  <c r="BO6" i="2"/>
  <c r="BN5" i="2"/>
  <c r="AE5" i="2"/>
  <c r="AF6" i="2"/>
  <c r="PO6" i="2" l="1"/>
  <c r="PN5" i="2"/>
  <c r="OG6" i="2"/>
  <c r="OF5" i="2"/>
  <c r="MU5" i="2"/>
  <c r="MV6" i="2"/>
  <c r="LK6" i="2"/>
  <c r="LJ5" i="2"/>
  <c r="KA6" i="2"/>
  <c r="JZ5" i="2"/>
  <c r="IP6" i="2"/>
  <c r="IO5" i="2"/>
  <c r="HF6" i="2"/>
  <c r="HE5" i="2"/>
  <c r="FU6" i="2"/>
  <c r="FT5" i="2"/>
  <c r="EI5" i="2"/>
  <c r="EJ6" i="2"/>
  <c r="CY5" i="2"/>
  <c r="CZ6" i="2"/>
  <c r="BP6" i="2"/>
  <c r="BO5" i="2"/>
  <c r="AG6" i="2"/>
  <c r="AF5" i="2"/>
  <c r="PP6" i="2" l="1"/>
  <c r="PO5" i="2"/>
  <c r="OG5" i="2"/>
  <c r="MW6" i="2"/>
  <c r="MV5" i="2"/>
  <c r="LL6" i="2"/>
  <c r="LK5" i="2"/>
  <c r="KB6" i="2"/>
  <c r="KA5" i="2"/>
  <c r="IP5" i="2"/>
  <c r="IQ6" i="2"/>
  <c r="HG6" i="2"/>
  <c r="HF5" i="2"/>
  <c r="FU5" i="2"/>
  <c r="FV6" i="2"/>
  <c r="EJ5" i="2"/>
  <c r="EK6" i="2"/>
  <c r="CZ5" i="2"/>
  <c r="DA6" i="2"/>
  <c r="BP5" i="2"/>
  <c r="BQ6" i="2"/>
  <c r="BR6" i="2" s="1"/>
  <c r="BS6" i="2" s="1"/>
  <c r="BS5" i="2" s="1"/>
  <c r="AH6" i="2"/>
  <c r="AG5" i="2"/>
  <c r="PQ6" i="2" l="1"/>
  <c r="PP5" i="2"/>
  <c r="MX6" i="2"/>
  <c r="MW5" i="2"/>
  <c r="LM6" i="2"/>
  <c r="LL5" i="2"/>
  <c r="KC6" i="2"/>
  <c r="KB5" i="2"/>
  <c r="IR6" i="2"/>
  <c r="IQ5" i="2"/>
  <c r="HH6" i="2"/>
  <c r="HG5" i="2"/>
  <c r="FW6" i="2"/>
  <c r="FV5" i="2"/>
  <c r="EL6" i="2"/>
  <c r="EK5" i="2"/>
  <c r="DB6" i="2"/>
  <c r="DB5" i="2" s="1"/>
  <c r="DA5" i="2"/>
  <c r="BR5" i="2"/>
  <c r="BQ5" i="2"/>
  <c r="AH5" i="2"/>
  <c r="EL5" i="2" l="1"/>
  <c r="EM6" i="2"/>
  <c r="EM5" i="2" s="1"/>
  <c r="PR6" i="2"/>
  <c r="PR5" i="2" s="1"/>
  <c r="PQ5" i="2"/>
  <c r="MY6" i="2"/>
  <c r="MY5" i="2" s="1"/>
  <c r="MX5" i="2"/>
  <c r="LN6" i="2"/>
  <c r="LN5" i="2" s="1"/>
  <c r="LM5" i="2"/>
  <c r="KC5" i="2"/>
  <c r="IS6" i="2"/>
  <c r="IS5" i="2" s="1"/>
  <c r="IR5" i="2"/>
  <c r="HH5" i="2"/>
  <c r="FX6" i="2"/>
  <c r="FX5" i="2" s="1"/>
  <c r="FW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<sst xmlns="http://schemas.openxmlformats.org/spreadsheetml/2006/main" count="370" uniqueCount="102">
  <si>
    <t>Employee ID</t>
  </si>
  <si>
    <t>Name of Employee</t>
  </si>
  <si>
    <t>Designation</t>
  </si>
  <si>
    <t>Basic Salary</t>
  </si>
  <si>
    <t>Blood Group</t>
  </si>
  <si>
    <t>Address</t>
  </si>
  <si>
    <t>NI Number</t>
  </si>
  <si>
    <t>Bank Name</t>
  </si>
  <si>
    <t>A/C No.</t>
  </si>
  <si>
    <t>Anika</t>
  </si>
  <si>
    <t>Nasid</t>
  </si>
  <si>
    <t>Oyshe</t>
  </si>
  <si>
    <t>Mumu</t>
  </si>
  <si>
    <t>Sakib</t>
  </si>
  <si>
    <t>Manager</t>
  </si>
  <si>
    <t>Accountant</t>
  </si>
  <si>
    <t>Care Assistant</t>
  </si>
  <si>
    <t>Administrator</t>
  </si>
  <si>
    <t>Driver</t>
  </si>
  <si>
    <t>F</t>
  </si>
  <si>
    <t>M</t>
  </si>
  <si>
    <t>B+</t>
  </si>
  <si>
    <t>0+</t>
  </si>
  <si>
    <t>AB-</t>
  </si>
  <si>
    <t>O-</t>
  </si>
  <si>
    <t>Manchester</t>
  </si>
  <si>
    <t>Oldham</t>
  </si>
  <si>
    <t>Cambridge</t>
  </si>
  <si>
    <t>London</t>
  </si>
  <si>
    <t>A123987</t>
  </si>
  <si>
    <t>B376439</t>
  </si>
  <si>
    <t>C987492</t>
  </si>
  <si>
    <t>D873426</t>
  </si>
  <si>
    <t>E324778</t>
  </si>
  <si>
    <t>Monzo</t>
  </si>
  <si>
    <t>Lloyds</t>
  </si>
  <si>
    <t>Nationwide</t>
  </si>
  <si>
    <t>NatWest</t>
  </si>
  <si>
    <t>121xxxx</t>
  </si>
  <si>
    <t>345xxxx</t>
  </si>
  <si>
    <t>435xxxx</t>
  </si>
  <si>
    <t>132xxxx</t>
  </si>
  <si>
    <t>768xxxx</t>
  </si>
  <si>
    <t>Opening Balance</t>
  </si>
  <si>
    <t>Current Earning</t>
  </si>
  <si>
    <t>Current Payment</t>
  </si>
  <si>
    <t>Balance</t>
  </si>
  <si>
    <t>Financial Year</t>
  </si>
  <si>
    <t>EMP ID</t>
  </si>
  <si>
    <t>P</t>
  </si>
  <si>
    <t>A</t>
  </si>
  <si>
    <t>O</t>
  </si>
  <si>
    <t>H</t>
  </si>
  <si>
    <t>Present</t>
  </si>
  <si>
    <t>Absent</t>
  </si>
  <si>
    <t>Off</t>
  </si>
  <si>
    <t>Half Day</t>
  </si>
  <si>
    <t>Gender</t>
  </si>
  <si>
    <t>:</t>
  </si>
  <si>
    <t>Opening B/L</t>
  </si>
  <si>
    <t>Total Salary</t>
  </si>
  <si>
    <t>Total Payment</t>
  </si>
  <si>
    <t>Total Balance</t>
  </si>
  <si>
    <t>Apr 2023 to Mar 2024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</si>
  <si>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</si>
  <si>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</si>
  <si>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</si>
  <si>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</si>
  <si>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</si>
  <si>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</si>
  <si>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</si>
  <si>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</si>
  <si>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</si>
  <si>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</si>
  <si>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</si>
  <si>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</si>
  <si>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Salary</t>
  </si>
  <si>
    <t>Salary Payment</t>
  </si>
  <si>
    <t>Total</t>
  </si>
  <si>
    <t>Half Days</t>
  </si>
  <si>
    <t>Month</t>
  </si>
  <si>
    <t>Employee Statements</t>
  </si>
  <si>
    <t>Contact</t>
  </si>
  <si>
    <t>Email</t>
  </si>
  <si>
    <t>Bank</t>
  </si>
  <si>
    <t>Bnak A/C No.</t>
  </si>
  <si>
    <t>Attendance</t>
  </si>
  <si>
    <t>Salary P/D</t>
  </si>
  <si>
    <t>Working Days</t>
  </si>
  <si>
    <t>Current Salary</t>
  </si>
  <si>
    <t>EMPLOYEE DETAILS</t>
  </si>
  <si>
    <t>ATTENDANCE</t>
  </si>
  <si>
    <t>SALARY DETAILS</t>
  </si>
  <si>
    <t>Total Earning :</t>
  </si>
  <si>
    <t xml:space="preserve">Total Deduction  </t>
  </si>
  <si>
    <t xml:space="preserve">Net Amount </t>
  </si>
  <si>
    <t>PAY SLIP</t>
  </si>
  <si>
    <t>Date</t>
  </si>
  <si>
    <t>Amount</t>
  </si>
  <si>
    <t>Narration</t>
  </si>
  <si>
    <t>EARNING</t>
  </si>
  <si>
    <t>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</si>
</sst>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0" fillId="2" borderId="1" xfId="0" applyFill="1" applyBorder="1"/>
    <xf numFmtId="164" fontId="0" fillId="0" borderId="0" xfId="0" applyNumberFormat="1"/>
    <xf numFmtId="164" fontId="0" fillId="0" borderId="1" xfId="0" applyNumberFormat="1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/>
    <xf numFmtId="0" fontId="1" fillId="0" borderId="3" xfId="0" applyFont="1" applyBorder="1" applyAlignment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left"/>
    </xf>
    <xf numFmtId="0" fontId="4" fillId="5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" fillId="0" borderId="13" xfId="0" applyFont="1" applyBorder="1"/>
    <xf numFmtId="0" fontId="1" fillId="0" borderId="0" xfId="0" applyFont="1" applyBorder="1" applyAlignment="1"/>
    <xf numFmtId="0" fontId="1" fillId="0" borderId="0" xfId="0" applyFont="1" applyFill="1" applyBorder="1" applyAlignment="1"/>
    <xf numFmtId="0" fontId="1" fillId="0" borderId="0" xfId="0" applyFont="1" applyFill="1" applyBorder="1"/>
    <xf numFmtId="0" fontId="4" fillId="0" borderId="0" xfId="0" applyFont="1" applyAlignment="1"/>
    <xf numFmtId="0" fontId="10" fillId="0" borderId="0" xfId="0" applyFont="1" applyFill="1" applyBorder="1" applyAlignment="1"/>
    <xf numFmtId="0" fontId="10" fillId="0" borderId="0" xfId="0" applyFont="1" applyFill="1" applyBorder="1"/>
    <xf numFmtId="0" fontId="9" fillId="0" borderId="4" xfId="0" applyFont="1" applyBorder="1"/>
    <xf numFmtId="0" fontId="9" fillId="0" borderId="5" xfId="0" applyFont="1" applyBorder="1"/>
    <xf numFmtId="0" fontId="9" fillId="0" borderId="22" xfId="0" applyFont="1" applyBorder="1"/>
    <xf numFmtId="0" fontId="0" fillId="0" borderId="22" xfId="0" applyBorder="1"/>
    <xf numFmtId="0" fontId="9" fillId="0" borderId="7" xfId="0" applyFont="1" applyBorder="1"/>
    <xf numFmtId="0" fontId="1" fillId="0" borderId="7" xfId="0" applyFont="1" applyBorder="1"/>
    <xf numFmtId="0" fontId="0" fillId="0" borderId="23" xfId="0" applyBorder="1"/>
    <xf numFmtId="0" fontId="0" fillId="0" borderId="24" xfId="0" applyBorder="1"/>
    <xf numFmtId="0" fontId="9" fillId="0" borderId="20" xfId="0" applyFont="1" applyBorder="1"/>
    <xf numFmtId="0" fontId="1" fillId="0" borderId="20" xfId="0" applyFont="1" applyBorder="1"/>
    <xf numFmtId="0" fontId="0" fillId="0" borderId="25" xfId="0" applyBorder="1"/>
    <xf numFmtId="0" fontId="1" fillId="0" borderId="20" xfId="0" applyFont="1" applyFill="1" applyBorder="1" applyAlignment="1"/>
    <xf numFmtId="0" fontId="4" fillId="0" borderId="1" xfId="0" applyFont="1" applyBorder="1"/>
    <xf numFmtId="0" fontId="11" fillId="0" borderId="0" xfId="0" applyFont="1" applyBorder="1" applyAlignment="1">
      <alignment horizontal="center"/>
    </xf>
    <xf numFmtId="0" fontId="3" fillId="0" borderId="17" xfId="0" applyFont="1" applyBorder="1" applyAlignment="1"/>
    <xf numFmtId="0" fontId="10" fillId="0" borderId="0" xfId="0" applyFont="1" applyBorder="1" applyAlignment="1"/>
    <xf numFmtId="0" fontId="3" fillId="0" borderId="0" xfId="0" applyFont="1" applyBorder="1" applyAlignment="1"/>
    <xf numFmtId="0" fontId="8" fillId="0" borderId="0" xfId="0" applyFont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11" xfId="0" applyFont="1" applyBorder="1"/>
    <xf numFmtId="0" fontId="1" fillId="0" borderId="8" xfId="0" applyFont="1" applyBorder="1" applyAlignment="1">
      <alignment horizontal="right"/>
    </xf>
    <xf numFmtId="0" fontId="1" fillId="0" borderId="7" xfId="0" applyFont="1" applyBorder="1" applyAlignment="1">
      <alignment horizontal="right"/>
    </xf>
  </cellXfs>
  <cellStyles count="1">
    <cellStyle name="Normal" xfId="0" builtinId="0"/>
  </cellStyles>
  <dxfs count="81">
    <dxf>
      <font>
        <color theme="0"/>
      </font>
    </dxf>
    <dxf>
      <fill>
        <patternFill>
          <fgColor theme="0"/>
          <bgColor theme="0"/>
        </patternFill>
      </fill>
    </dxf>
    <dxf>
      <fill>
        <patternFill patternType="solid">
          <f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</patternFill>
      </fill>
    </dxf>
    <dxf>
      <fill>
        <patternFill>
          <fgColor theme="0"/>
          <bgColor theme="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</patternFill>
      </fill>
    </dxf>
    <dxf>
      <fill>
        <patternFill>
          <fgColor theme="0"/>
          <bgColor theme="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</patternFill>
      </fill>
    </dxf>
    <dxf>
      <fill>
        <patternFill>
          <fgColor theme="0"/>
          <bgColor theme="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</patternFill>
      </fill>
    </dxf>
    <dxf>
      <fill>
        <patternFill>
          <fgColor theme="0"/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</patternFill>
      </fill>
    </dxf>
    <dxf>
      <fill>
        <patternFill>
          <fgColor theme="0"/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38100</xdr:rowOff>
    </xdr:from>
    <xdr:to>
      <xdr:col>1</xdr:col>
      <xdr:colOff>257175</xdr:colOff>
      <xdr:row>2</xdr:row>
      <xdr:rowOff>9524</xdr:rowOff>
    </xdr:to>
    <xdr:sp macro="[1]!ap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02EA1F-B823-6163-8F08-18D2284F0E5F}"/>
            </a:ext>
          </a:extLst>
        </xdr:cNvPr>
        <xdr:cNvSpPr/>
      </xdr:nvSpPr>
      <xdr:spPr>
        <a:xfrm>
          <a:off x="8572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Apr</a:t>
          </a:r>
        </a:p>
      </xdr:txBody>
    </xdr:sp>
    <xdr:clientData/>
  </xdr:twoCellAnchor>
  <xdr:twoCellAnchor editAs="absolute">
    <xdr:from>
      <xdr:col>1</xdr:col>
      <xdr:colOff>547255</xdr:colOff>
      <xdr:row>0</xdr:row>
      <xdr:rowOff>38100</xdr:rowOff>
    </xdr:from>
    <xdr:to>
      <xdr:col>1</xdr:col>
      <xdr:colOff>1204480</xdr:colOff>
      <xdr:row>2</xdr:row>
      <xdr:rowOff>9524</xdr:rowOff>
    </xdr:to>
    <xdr:sp macro="[1]!may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367C6B-52F1-4F9F-AD02-BCC2578B7A06}"/>
            </a:ext>
          </a:extLst>
        </xdr:cNvPr>
        <xdr:cNvSpPr/>
      </xdr:nvSpPr>
      <xdr:spPr>
        <a:xfrm>
          <a:off x="1033030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May</a:t>
          </a:r>
        </a:p>
      </xdr:txBody>
    </xdr:sp>
    <xdr:clientData/>
  </xdr:twoCellAnchor>
  <xdr:twoCellAnchor editAs="absolute">
    <xdr:from>
      <xdr:col>2</xdr:col>
      <xdr:colOff>284885</xdr:colOff>
      <xdr:row>0</xdr:row>
      <xdr:rowOff>38100</xdr:rowOff>
    </xdr:from>
    <xdr:to>
      <xdr:col>3</xdr:col>
      <xdr:colOff>37235</xdr:colOff>
      <xdr:row>2</xdr:row>
      <xdr:rowOff>9524</xdr:rowOff>
    </xdr:to>
    <xdr:sp macro="[1]!jun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A87E263-19B5-4D65-B890-B49BFB3C11D1}"/>
            </a:ext>
          </a:extLst>
        </xdr:cNvPr>
        <xdr:cNvSpPr/>
      </xdr:nvSpPr>
      <xdr:spPr>
        <a:xfrm>
          <a:off x="198033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Jun</a:t>
          </a:r>
        </a:p>
      </xdr:txBody>
    </xdr:sp>
    <xdr:clientData/>
  </xdr:twoCellAnchor>
  <xdr:twoCellAnchor editAs="absolute">
    <xdr:from>
      <xdr:col>3</xdr:col>
      <xdr:colOff>327315</xdr:colOff>
      <xdr:row>0</xdr:row>
      <xdr:rowOff>38100</xdr:rowOff>
    </xdr:from>
    <xdr:to>
      <xdr:col>5</xdr:col>
      <xdr:colOff>232065</xdr:colOff>
      <xdr:row>2</xdr:row>
      <xdr:rowOff>9524</xdr:rowOff>
    </xdr:to>
    <xdr:sp macro="[1]!ju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17305CB-7B45-4BCC-A1A1-FFDBB6A76CBD}"/>
            </a:ext>
          </a:extLst>
        </xdr:cNvPr>
        <xdr:cNvSpPr/>
      </xdr:nvSpPr>
      <xdr:spPr>
        <a:xfrm>
          <a:off x="2927640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Jul</a:t>
          </a:r>
        </a:p>
      </xdr:txBody>
    </xdr:sp>
    <xdr:clientData/>
  </xdr:twoCellAnchor>
  <xdr:twoCellAnchor editAs="absolute">
    <xdr:from>
      <xdr:col>6</xdr:col>
      <xdr:colOff>236395</xdr:colOff>
      <xdr:row>0</xdr:row>
      <xdr:rowOff>38100</xdr:rowOff>
    </xdr:from>
    <xdr:to>
      <xdr:col>8</xdr:col>
      <xdr:colOff>274495</xdr:colOff>
      <xdr:row>2</xdr:row>
      <xdr:rowOff>9524</xdr:rowOff>
    </xdr:to>
    <xdr:sp macro="[1]!aug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F8D159-1091-4C51-8481-99EE453D0937}"/>
            </a:ext>
          </a:extLst>
        </xdr:cNvPr>
        <xdr:cNvSpPr/>
      </xdr:nvSpPr>
      <xdr:spPr>
        <a:xfrm>
          <a:off x="387494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Aug</a:t>
          </a:r>
        </a:p>
        <a:p>
          <a:pPr algn="ctr"/>
          <a:endParaRPr lang="en-GB" sz="1400" b="1"/>
        </a:p>
      </xdr:txBody>
    </xdr:sp>
    <xdr:clientData/>
  </xdr:twoCellAnchor>
  <xdr:twoCellAnchor editAs="absolute">
    <xdr:from>
      <xdr:col>9</xdr:col>
      <xdr:colOff>221675</xdr:colOff>
      <xdr:row>0</xdr:row>
      <xdr:rowOff>38100</xdr:rowOff>
    </xdr:from>
    <xdr:to>
      <xdr:col>12</xdr:col>
      <xdr:colOff>126425</xdr:colOff>
      <xdr:row>2</xdr:row>
      <xdr:rowOff>9524</xdr:rowOff>
    </xdr:to>
    <xdr:sp macro="[1]!sep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C9C6135-85B5-4552-8F9D-2E030052D272}"/>
            </a:ext>
          </a:extLst>
        </xdr:cNvPr>
        <xdr:cNvSpPr/>
      </xdr:nvSpPr>
      <xdr:spPr>
        <a:xfrm>
          <a:off x="4822250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Sep</a:t>
          </a:r>
        </a:p>
      </xdr:txBody>
    </xdr:sp>
    <xdr:clientData/>
  </xdr:twoCellAnchor>
  <xdr:twoCellAnchor editAs="absolute">
    <xdr:from>
      <xdr:col>13</xdr:col>
      <xdr:colOff>130755</xdr:colOff>
      <xdr:row>0</xdr:row>
      <xdr:rowOff>38100</xdr:rowOff>
    </xdr:from>
    <xdr:to>
      <xdr:col>15</xdr:col>
      <xdr:colOff>168855</xdr:colOff>
      <xdr:row>2</xdr:row>
      <xdr:rowOff>9524</xdr:rowOff>
    </xdr:to>
    <xdr:sp macro="[1]!oct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F138B31-C2AD-4517-93DE-570E79363083}"/>
            </a:ext>
          </a:extLst>
        </xdr:cNvPr>
        <xdr:cNvSpPr/>
      </xdr:nvSpPr>
      <xdr:spPr>
        <a:xfrm>
          <a:off x="576955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Oct</a:t>
          </a:r>
        </a:p>
      </xdr:txBody>
    </xdr:sp>
    <xdr:clientData/>
  </xdr:twoCellAnchor>
  <xdr:twoCellAnchor editAs="absolute">
    <xdr:from>
      <xdr:col>16</xdr:col>
      <xdr:colOff>116035</xdr:colOff>
      <xdr:row>0</xdr:row>
      <xdr:rowOff>38100</xdr:rowOff>
    </xdr:from>
    <xdr:to>
      <xdr:col>19</xdr:col>
      <xdr:colOff>20785</xdr:colOff>
      <xdr:row>2</xdr:row>
      <xdr:rowOff>9524</xdr:rowOff>
    </xdr:to>
    <xdr:sp macro="[1]!nov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C052AB-8773-44C5-8202-BBFC77B6893B}"/>
            </a:ext>
          </a:extLst>
        </xdr:cNvPr>
        <xdr:cNvSpPr/>
      </xdr:nvSpPr>
      <xdr:spPr>
        <a:xfrm>
          <a:off x="6716860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Nov</a:t>
          </a:r>
        </a:p>
      </xdr:txBody>
    </xdr:sp>
    <xdr:clientData/>
  </xdr:twoCellAnchor>
  <xdr:twoCellAnchor editAs="absolute">
    <xdr:from>
      <xdr:col>20</xdr:col>
      <xdr:colOff>25115</xdr:colOff>
      <xdr:row>0</xdr:row>
      <xdr:rowOff>38100</xdr:rowOff>
    </xdr:from>
    <xdr:to>
      <xdr:col>22</xdr:col>
      <xdr:colOff>63215</xdr:colOff>
      <xdr:row>2</xdr:row>
      <xdr:rowOff>9524</xdr:rowOff>
    </xdr:to>
    <xdr:sp macro="[1]!dec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9EC434D-A6FE-4FFC-AC1D-3B3785768334}"/>
            </a:ext>
          </a:extLst>
        </xdr:cNvPr>
        <xdr:cNvSpPr/>
      </xdr:nvSpPr>
      <xdr:spPr>
        <a:xfrm>
          <a:off x="766416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Dec</a:t>
          </a:r>
        </a:p>
      </xdr:txBody>
    </xdr:sp>
    <xdr:clientData/>
  </xdr:twoCellAnchor>
  <xdr:twoCellAnchor editAs="absolute">
    <xdr:from>
      <xdr:col>23</xdr:col>
      <xdr:colOff>10395</xdr:colOff>
      <xdr:row>0</xdr:row>
      <xdr:rowOff>38100</xdr:rowOff>
    </xdr:from>
    <xdr:to>
      <xdr:col>25</xdr:col>
      <xdr:colOff>162795</xdr:colOff>
      <xdr:row>2</xdr:row>
      <xdr:rowOff>9524</xdr:rowOff>
    </xdr:to>
    <xdr:sp macro="[1]!jandata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1EF44D4-136C-4336-AAA4-357BE84E2D56}"/>
            </a:ext>
          </a:extLst>
        </xdr:cNvPr>
        <xdr:cNvSpPr/>
      </xdr:nvSpPr>
      <xdr:spPr>
        <a:xfrm>
          <a:off x="8611470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Jan</a:t>
          </a:r>
        </a:p>
      </xdr:txBody>
    </xdr:sp>
    <xdr:clientData/>
  </xdr:twoCellAnchor>
  <xdr:twoCellAnchor editAs="absolute">
    <xdr:from>
      <xdr:col>26</xdr:col>
      <xdr:colOff>205225</xdr:colOff>
      <xdr:row>0</xdr:row>
      <xdr:rowOff>38100</xdr:rowOff>
    </xdr:from>
    <xdr:to>
      <xdr:col>28</xdr:col>
      <xdr:colOff>243325</xdr:colOff>
      <xdr:row>2</xdr:row>
      <xdr:rowOff>9524</xdr:rowOff>
    </xdr:to>
    <xdr:sp macro="[1]!febdata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74E97361-8951-4B59-A6C3-325573E13627}"/>
            </a:ext>
          </a:extLst>
        </xdr:cNvPr>
        <xdr:cNvSpPr/>
      </xdr:nvSpPr>
      <xdr:spPr>
        <a:xfrm>
          <a:off x="955877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Feb</a:t>
          </a:r>
        </a:p>
      </xdr:txBody>
    </xdr:sp>
    <xdr:clientData/>
  </xdr:twoCellAnchor>
  <xdr:twoCellAnchor editAs="absolute">
    <xdr:from>
      <xdr:col>29</xdr:col>
      <xdr:colOff>247650</xdr:colOff>
      <xdr:row>0</xdr:row>
      <xdr:rowOff>38100</xdr:rowOff>
    </xdr:from>
    <xdr:to>
      <xdr:col>32</xdr:col>
      <xdr:colOff>57150</xdr:colOff>
      <xdr:row>2</xdr:row>
      <xdr:rowOff>9524</xdr:rowOff>
    </xdr:to>
    <xdr:sp macro="[1]!mardata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4A6A79C-E283-4A2E-8DF6-88AF543E9689}"/>
            </a:ext>
          </a:extLst>
        </xdr:cNvPr>
        <xdr:cNvSpPr/>
      </xdr:nvSpPr>
      <xdr:spPr>
        <a:xfrm>
          <a:off x="10506075" y="38100"/>
          <a:ext cx="657225" cy="35242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Mar</a:t>
          </a:r>
        </a:p>
        <a:p>
          <a:pPr algn="ctr"/>
          <a:endParaRPr lang="en-GB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Payslip.xlsm" TargetMode="External"/><Relationship Id="rId1" Type="http://schemas.openxmlformats.org/officeDocument/2006/relationships/externalLinkPath" Target="Paysli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s"/>
      <sheetName val="Attendance"/>
      <sheetName val="Setting"/>
      <sheetName val="Payment"/>
    </sheetNames>
    <definedNames>
      <definedName name="aprdata"/>
      <definedName name="augdata"/>
      <definedName name="decdata"/>
      <definedName name="febdata"/>
      <definedName name="jandata"/>
      <definedName name="juldata"/>
      <definedName name="jundata"/>
      <definedName name="mardata"/>
      <definedName name="maydata"/>
      <definedName name="novdata"/>
      <definedName name="octdata"/>
      <definedName name="sepdata"/>
    </definedNames>
    <sheetDataSet>
      <sheetData sheetId="0"/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3F21-A6FC-4F18-9C3A-76777040ACDB}">
  <sheetPr codeName="Sheet1">
    <pageSetUpPr fitToPage="1"/>
  </sheetPr>
  <dimension ref="B1:BJ41"/>
  <sheetViews>
    <sheetView tabSelected="1" zoomScale="55" zoomScaleNormal="55" workbookViewId="0">
      <selection activeCell="AL7" sqref="AL7"/>
    </sheetView>
  </sheetViews>
  <sheetFormatPr defaultRowHeight="15" x14ac:dyDescent="0.25"/>
  <cols>
    <col min="1" max="1" width="18.5703125" customWidth="1"/>
    <col min="2" max="2" width="2.7109375" customWidth="1"/>
    <col min="3" max="3" width="18.5703125" customWidth="1"/>
    <col min="4" max="34" width="4.85546875" customWidth="1"/>
    <col min="35" max="35" width="2.140625" customWidth="1"/>
    <col min="36" max="38" width="4.85546875" customWidth="1"/>
    <col min="39" max="39" width="7.28515625" customWidth="1"/>
    <col min="40" max="40" width="2.5703125" customWidth="1"/>
    <col min="41" max="41" width="25" customWidth="1"/>
    <col min="42" max="42" width="3.42578125" customWidth="1"/>
    <col min="43" max="43" width="34.85546875" customWidth="1"/>
    <col min="44" max="45" width="1.42578125" customWidth="1"/>
    <col min="46" max="46" width="21" customWidth="1"/>
    <col min="47" max="47" width="3.85546875" customWidth="1"/>
    <col min="48" max="48" width="8.7109375" customWidth="1"/>
    <col min="49" max="49" width="13.28515625" customWidth="1"/>
    <col min="50" max="50" width="15.140625" customWidth="1"/>
    <col min="51" max="51" width="3" customWidth="1"/>
    <col min="52" max="59" width="4.85546875" customWidth="1"/>
  </cols>
  <sheetData>
    <row r="1" spans="2:62" ht="31.5" customHeight="1" thickBot="1" x14ac:dyDescent="0.3"/>
    <row r="2" spans="2:62" x14ac:dyDescent="0.25">
      <c r="B2" s="37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N2" s="37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</row>
    <row r="3" spans="2:62" ht="23.25" x14ac:dyDescent="0.35">
      <c r="B3" s="40"/>
      <c r="C3" s="73" t="s">
        <v>81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41"/>
      <c r="AN3" s="40"/>
      <c r="AO3" s="69" t="s">
        <v>96</v>
      </c>
      <c r="AP3" s="31"/>
      <c r="AQ3" s="31"/>
      <c r="AR3" s="31"/>
      <c r="AS3" s="31"/>
      <c r="AT3" s="31"/>
      <c r="AU3" s="31"/>
      <c r="AV3" s="31"/>
      <c r="AW3" s="31"/>
      <c r="AX3" s="31"/>
      <c r="AY3" s="41"/>
    </row>
    <row r="4" spans="2:62" x14ac:dyDescent="0.25">
      <c r="B4" s="4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41"/>
      <c r="AN4" s="40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41"/>
    </row>
    <row r="5" spans="2:62" x14ac:dyDescent="0.25">
      <c r="B5" s="40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41"/>
      <c r="AN5" s="40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41"/>
    </row>
    <row r="6" spans="2:62" ht="21" x14ac:dyDescent="0.35">
      <c r="B6" s="40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41"/>
      <c r="AN6" s="40"/>
      <c r="AO6" s="11"/>
      <c r="AP6" s="11"/>
      <c r="AQ6" s="11"/>
      <c r="AR6" s="11"/>
      <c r="AS6" s="11"/>
      <c r="AT6" s="11"/>
      <c r="AU6" s="11"/>
      <c r="AV6" s="68" t="s">
        <v>80</v>
      </c>
      <c r="AW6" s="78" t="s">
        <v>64</v>
      </c>
      <c r="AX6" s="11"/>
      <c r="AY6" s="41"/>
    </row>
    <row r="7" spans="2:62" ht="18.75" customHeight="1" x14ac:dyDescent="0.35">
      <c r="B7" s="40"/>
      <c r="C7" s="42" t="s">
        <v>48</v>
      </c>
      <c r="D7" s="42"/>
      <c r="E7" s="45" t="s">
        <v>58</v>
      </c>
      <c r="F7" s="83">
        <v>1</v>
      </c>
      <c r="G7" s="83"/>
      <c r="H7" s="83"/>
      <c r="I7" s="83"/>
      <c r="J7" s="83"/>
      <c r="K7" s="83"/>
      <c r="L7" s="83"/>
      <c r="M7" s="83"/>
      <c r="N7" s="11"/>
      <c r="O7" s="11"/>
      <c r="P7" s="11"/>
      <c r="Q7" s="11"/>
      <c r="R7" s="11"/>
      <c r="S7" s="11"/>
      <c r="T7" s="11"/>
      <c r="U7" s="42" t="s">
        <v>59</v>
      </c>
      <c r="V7" s="42"/>
      <c r="W7" s="42"/>
      <c r="X7" s="42"/>
      <c r="Y7" s="45" t="s">
        <v>58</v>
      </c>
      <c r="Z7" s="83">
        <f>VLOOKUP(F7,Setting!A4:N9,11,0)</f>
        <v>0</v>
      </c>
      <c r="AA7" s="83"/>
      <c r="AB7" s="83"/>
      <c r="AC7" s="83"/>
      <c r="AD7" s="11"/>
      <c r="AE7" s="11"/>
      <c r="AF7" s="11"/>
      <c r="AG7" s="11"/>
      <c r="AH7" s="11"/>
      <c r="AI7" s="41"/>
      <c r="AN7" s="40"/>
      <c r="AO7" s="11"/>
      <c r="AP7" s="11"/>
      <c r="AQ7" s="11"/>
      <c r="AR7" s="11"/>
      <c r="AS7" s="11"/>
      <c r="AT7" s="11"/>
      <c r="AU7" s="11"/>
      <c r="AV7" s="68" t="s">
        <v>48</v>
      </c>
      <c r="AW7" s="78">
        <v>1</v>
      </c>
      <c r="AX7" s="11"/>
      <c r="AY7" s="41"/>
    </row>
    <row r="8" spans="2:62" ht="15" customHeight="1" x14ac:dyDescent="0.25">
      <c r="B8" s="40"/>
      <c r="C8" s="42" t="s">
        <v>1</v>
      </c>
      <c r="D8" s="42"/>
      <c r="E8" s="45" t="s">
        <v>58</v>
      </c>
      <c r="F8" s="83" t="str">
        <f>VLOOKUP($F$7,Setting!$A$4:$N$9,2,0)</f>
        <v>Anika</v>
      </c>
      <c r="G8" s="83"/>
      <c r="H8" s="83"/>
      <c r="I8" s="83"/>
      <c r="J8" s="83"/>
      <c r="K8" s="83"/>
      <c r="L8" s="83"/>
      <c r="M8" s="83"/>
      <c r="N8" s="11"/>
      <c r="O8" s="11"/>
      <c r="P8" s="11"/>
      <c r="Q8" s="11"/>
      <c r="R8" s="11"/>
      <c r="S8" s="11"/>
      <c r="T8" s="11"/>
      <c r="U8" s="42" t="s">
        <v>60</v>
      </c>
      <c r="V8" s="42"/>
      <c r="W8" s="42"/>
      <c r="X8" s="42"/>
      <c r="Y8" s="45" t="s">
        <v>58</v>
      </c>
      <c r="Z8" s="83">
        <f ca="1">ROUND(SUM(D15:AA15),0)</f>
        <v>22500</v>
      </c>
      <c r="AA8" s="83"/>
      <c r="AB8" s="83"/>
      <c r="AC8" s="83"/>
      <c r="AD8" s="11"/>
      <c r="AE8" s="11"/>
      <c r="AF8" s="11"/>
      <c r="AG8" s="11"/>
      <c r="AH8" s="11"/>
      <c r="AI8" s="41"/>
      <c r="AN8" s="40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41"/>
    </row>
    <row r="9" spans="2:62" ht="18.75" customHeight="1" x14ac:dyDescent="0.35">
      <c r="B9" s="40"/>
      <c r="C9" s="43" t="s">
        <v>2</v>
      </c>
      <c r="D9" s="43"/>
      <c r="E9" s="45" t="s">
        <v>58</v>
      </c>
      <c r="F9" s="83" t="str">
        <f>VLOOKUP($F$7,Setting!$A$4:$N$9,3,0)</f>
        <v>Manager</v>
      </c>
      <c r="G9" s="83"/>
      <c r="H9" s="83"/>
      <c r="I9" s="83"/>
      <c r="J9" s="83"/>
      <c r="K9" s="83"/>
      <c r="L9" s="83"/>
      <c r="M9" s="83"/>
      <c r="N9" s="11"/>
      <c r="O9" s="11"/>
      <c r="P9" s="11"/>
      <c r="Q9" s="11"/>
      <c r="R9" s="11"/>
      <c r="S9" s="11"/>
      <c r="T9" s="11"/>
      <c r="U9" s="42" t="s">
        <v>61</v>
      </c>
      <c r="V9" s="42"/>
      <c r="W9" s="42"/>
      <c r="X9" s="42"/>
      <c r="Y9" s="45" t="s">
        <v>58</v>
      </c>
      <c r="Z9" s="86">
        <f>SUM(D16:AA16)</f>
        <v>20000</v>
      </c>
      <c r="AA9" s="86"/>
      <c r="AB9" s="86"/>
      <c r="AC9" s="86"/>
      <c r="AD9" s="11"/>
      <c r="AE9" s="11"/>
      <c r="AF9" s="11"/>
      <c r="AG9" s="11"/>
      <c r="AH9" s="11"/>
      <c r="AI9" s="41"/>
      <c r="AM9" s="53"/>
      <c r="AN9" s="70"/>
      <c r="AO9" s="71" t="s">
        <v>90</v>
      </c>
      <c r="AP9" s="72"/>
      <c r="AQ9" s="72"/>
      <c r="AR9" s="72"/>
      <c r="AS9" s="72"/>
      <c r="AT9" s="11"/>
      <c r="AU9" s="11"/>
      <c r="AV9" s="11"/>
      <c r="AW9" s="11"/>
      <c r="AX9" s="11"/>
      <c r="AY9" s="41"/>
    </row>
    <row r="10" spans="2:62" ht="15.75" thickBot="1" x14ac:dyDescent="0.3">
      <c r="B10" s="40"/>
      <c r="C10" s="42" t="s">
        <v>57</v>
      </c>
      <c r="D10" s="42"/>
      <c r="E10" s="45" t="s">
        <v>58</v>
      </c>
      <c r="F10" s="83" t="str">
        <f>VLOOKUP($F$7,Setting!$A$4:$N$9,4,0)</f>
        <v>F</v>
      </c>
      <c r="G10" s="83"/>
      <c r="H10" s="83"/>
      <c r="I10" s="83"/>
      <c r="J10" s="83"/>
      <c r="K10" s="83"/>
      <c r="L10" s="83"/>
      <c r="M10" s="83"/>
      <c r="N10" s="11"/>
      <c r="O10" s="11"/>
      <c r="P10" s="11"/>
      <c r="Q10" s="11"/>
      <c r="R10" s="11"/>
      <c r="S10" s="11"/>
      <c r="T10" s="11"/>
      <c r="U10" s="34" t="s">
        <v>62</v>
      </c>
      <c r="V10" s="34"/>
      <c r="W10" s="34"/>
      <c r="X10" s="34"/>
      <c r="Y10" s="61" t="s">
        <v>58</v>
      </c>
      <c r="Z10" s="87">
        <f ca="1">Z7+Z8-Z9</f>
        <v>2500</v>
      </c>
      <c r="AA10" s="87"/>
      <c r="AB10" s="87"/>
      <c r="AC10" s="87"/>
      <c r="AD10" s="11"/>
      <c r="AE10" s="11"/>
      <c r="AF10" s="11"/>
      <c r="AG10" s="11"/>
      <c r="AH10" s="11"/>
      <c r="AI10" s="41"/>
      <c r="AN10" s="40"/>
      <c r="AO10" s="49" t="s">
        <v>48</v>
      </c>
      <c r="AP10" s="49" t="s">
        <v>58</v>
      </c>
      <c r="AQ10" s="79">
        <v>1</v>
      </c>
      <c r="AR10" s="29"/>
      <c r="AS10" s="29"/>
      <c r="AT10" s="49" t="s">
        <v>5</v>
      </c>
      <c r="AU10" s="49" t="s">
        <v>58</v>
      </c>
      <c r="AV10" s="82" t="str">
        <f>VLOOKUP(AQ10,Setting!A5:N9,7,0)</f>
        <v>Manchester</v>
      </c>
      <c r="AW10" s="82"/>
      <c r="AX10" s="82"/>
      <c r="AY10" s="4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</row>
    <row r="11" spans="2:62" x14ac:dyDescent="0.25">
      <c r="B11" s="40"/>
      <c r="C11" s="43" t="s">
        <v>3</v>
      </c>
      <c r="D11" s="43"/>
      <c r="E11" s="45" t="s">
        <v>58</v>
      </c>
      <c r="F11" s="83">
        <f>VLOOKUP($F$7,Setting!$A$4:$N$9,5,0)</f>
        <v>30000</v>
      </c>
      <c r="G11" s="83"/>
      <c r="H11" s="83"/>
      <c r="I11" s="83"/>
      <c r="J11" s="83"/>
      <c r="K11" s="83"/>
      <c r="L11" s="83"/>
      <c r="M11" s="83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41"/>
      <c r="AN11" s="40"/>
      <c r="AO11" s="50" t="s">
        <v>1</v>
      </c>
      <c r="AP11" s="50" t="s">
        <v>58</v>
      </c>
      <c r="AQ11" s="80" t="str">
        <f>F8</f>
        <v>Anika</v>
      </c>
      <c r="AR11" s="11"/>
      <c r="AS11" s="11"/>
      <c r="AT11" s="45" t="s">
        <v>82</v>
      </c>
      <c r="AU11" s="45" t="s">
        <v>58</v>
      </c>
      <c r="AV11" s="83"/>
      <c r="AW11" s="83"/>
      <c r="AX11" s="83"/>
      <c r="AY11" s="4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</row>
    <row r="12" spans="2:62" ht="11.25" customHeight="1" x14ac:dyDescent="0.25">
      <c r="B12" s="4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41"/>
      <c r="AN12" s="40"/>
      <c r="AO12" s="43" t="s">
        <v>2</v>
      </c>
      <c r="AP12" s="43" t="s">
        <v>58</v>
      </c>
      <c r="AQ12" s="80" t="str">
        <f>F9</f>
        <v>Manager</v>
      </c>
      <c r="AR12" s="11"/>
      <c r="AS12" s="11"/>
      <c r="AT12" s="45" t="s">
        <v>83</v>
      </c>
      <c r="AU12" s="45" t="s">
        <v>58</v>
      </c>
      <c r="AV12" s="83"/>
      <c r="AW12" s="83"/>
      <c r="AX12" s="83"/>
      <c r="AY12" s="4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</row>
    <row r="13" spans="2:62" ht="23.25" customHeight="1" x14ac:dyDescent="0.35">
      <c r="B13" s="40"/>
      <c r="C13" s="44" t="s">
        <v>63</v>
      </c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11"/>
      <c r="AC13" s="11"/>
      <c r="AD13" s="11"/>
      <c r="AE13" s="11"/>
      <c r="AF13" s="11"/>
      <c r="AG13" s="11"/>
      <c r="AH13" s="11"/>
      <c r="AI13" s="41"/>
      <c r="AN13" s="40"/>
      <c r="AO13" s="50" t="s">
        <v>57</v>
      </c>
      <c r="AP13" s="50" t="s">
        <v>58</v>
      </c>
      <c r="AQ13" s="80" t="str">
        <f>F10</f>
        <v>F</v>
      </c>
      <c r="AR13" s="11"/>
      <c r="AS13" s="11"/>
      <c r="AT13" s="52" t="s">
        <v>84</v>
      </c>
      <c r="AU13" s="52" t="s">
        <v>58</v>
      </c>
      <c r="AV13" s="84" t="str">
        <f>VLOOKUP(AQ10,Setting!A5:N9,9,0)</f>
        <v>Monzo</v>
      </c>
      <c r="AW13" s="84"/>
      <c r="AX13" s="84"/>
      <c r="AY13" s="4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</row>
    <row r="14" spans="2:62" ht="18.75" x14ac:dyDescent="0.3">
      <c r="B14" s="40"/>
      <c r="C14" s="11"/>
      <c r="D14" s="27" t="s">
        <v>64</v>
      </c>
      <c r="E14" s="27"/>
      <c r="F14" s="27" t="s">
        <v>65</v>
      </c>
      <c r="G14" s="27"/>
      <c r="H14" s="27" t="s">
        <v>66</v>
      </c>
      <c r="I14" s="27"/>
      <c r="J14" s="27" t="s">
        <v>67</v>
      </c>
      <c r="K14" s="27"/>
      <c r="L14" s="27" t="s">
        <v>68</v>
      </c>
      <c r="M14" s="27"/>
      <c r="N14" s="28" t="s">
        <v>69</v>
      </c>
      <c r="O14" s="28"/>
      <c r="P14" s="28" t="s">
        <v>70</v>
      </c>
      <c r="Q14" s="28"/>
      <c r="R14" s="28" t="s">
        <v>71</v>
      </c>
      <c r="S14" s="28"/>
      <c r="T14" s="28" t="s">
        <v>72</v>
      </c>
      <c r="U14" s="28"/>
      <c r="V14" s="28" t="s">
        <v>73</v>
      </c>
      <c r="W14" s="28"/>
      <c r="X14" s="28" t="s">
        <v>74</v>
      </c>
      <c r="Y14" s="28"/>
      <c r="Z14" s="28" t="s">
        <v>75</v>
      </c>
      <c r="AA14" s="28"/>
      <c r="AB14" s="11"/>
      <c r="AC14" s="24" t="s">
        <v>78</v>
      </c>
      <c r="AD14" s="32"/>
      <c r="AE14" s="25"/>
      <c r="AF14" s="11"/>
      <c r="AG14" s="11"/>
      <c r="AH14" s="11"/>
      <c r="AI14" s="41"/>
      <c r="AN14" s="40"/>
      <c r="AO14" s="51" t="s">
        <v>4</v>
      </c>
      <c r="AP14" s="45" t="s">
        <v>58</v>
      </c>
      <c r="AQ14" s="80" t="str">
        <f>VLOOKUP(AQ10,Setting!A5:N9,6,0)</f>
        <v>B+</v>
      </c>
      <c r="AR14" s="11"/>
      <c r="AS14" s="11"/>
      <c r="AT14" s="52" t="s">
        <v>85</v>
      </c>
      <c r="AU14" s="52" t="s">
        <v>58</v>
      </c>
      <c r="AV14" s="84" t="str">
        <f>VLOOKUP(AQ10,Setting!A5:N9,10,0)</f>
        <v>121xxxx</v>
      </c>
      <c r="AW14" s="84"/>
      <c r="AX14" s="84"/>
      <c r="AY14" s="4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</row>
    <row r="15" spans="2:62" ht="15.75" thickBot="1" x14ac:dyDescent="0.3">
      <c r="B15" s="40"/>
      <c r="C15" s="45" t="s">
        <v>76</v>
      </c>
      <c r="D15" s="21">
        <f ca="1">($F$11/(COUNTA($D$25:$AG$25)-D21))*D20+(($F$11/(COUNTA($D$25:$AG$25)-D21))*D22)/2</f>
        <v>22500</v>
      </c>
      <c r="E15" s="22"/>
      <c r="F15" s="21">
        <f t="shared" ref="F15:AA15" ca="1" si="0">($F$11/(COUNTA($D$25:$AG$25)-F21))*F20+(($F$11/(COUNTA($D$25:$AG$25)-F21))*F22)/2</f>
        <v>0</v>
      </c>
      <c r="G15" s="22"/>
      <c r="H15" s="21">
        <f t="shared" ref="H15:AA15" ca="1" si="1">($F$11/(COUNTA($D$25:$AG$25)-H21))*H20+(($F$11/(COUNTA($D$25:$AG$25)-H21))*H22)/2</f>
        <v>0</v>
      </c>
      <c r="I15" s="22"/>
      <c r="J15" s="21">
        <f t="shared" ref="J15:AA15" ca="1" si="2">($F$11/(COUNTA($D$25:$AG$25)-J21))*J20+(($F$11/(COUNTA($D$25:$AG$25)-J21))*J22)/2</f>
        <v>0</v>
      </c>
      <c r="K15" s="22"/>
      <c r="L15" s="21">
        <f t="shared" ref="L15:AA15" ca="1" si="3">($F$11/(COUNTA($D$25:$AG$25)-L21))*L20+(($F$11/(COUNTA($D$25:$AG$25)-L21))*L22)/2</f>
        <v>0</v>
      </c>
      <c r="M15" s="22"/>
      <c r="N15" s="21">
        <f t="shared" ref="N15:AA15" ca="1" si="4">($F$11/(COUNTA($D$25:$AG$25)-N21))*N20+(($F$11/(COUNTA($D$25:$AG$25)-N21))*N22)/2</f>
        <v>0</v>
      </c>
      <c r="O15" s="22"/>
      <c r="P15" s="21">
        <f t="shared" ref="P15:AA15" ca="1" si="5">($F$11/(COUNTA($D$25:$AG$25)-P21))*P20+(($F$11/(COUNTA($D$25:$AG$25)-P21))*P22)/2</f>
        <v>0</v>
      </c>
      <c r="Q15" s="22"/>
      <c r="R15" s="21">
        <f t="shared" ref="R15:AA15" ca="1" si="6">($F$11/(COUNTA($D$25:$AG$25)-R21))*R20+(($F$11/(COUNTA($D$25:$AG$25)-R21))*R22)/2</f>
        <v>0</v>
      </c>
      <c r="S15" s="22"/>
      <c r="T15" s="21">
        <f t="shared" ref="T15:AA15" ca="1" si="7">($F$11/(COUNTA($D$25:$AG$25)-T21))*T20+(($F$11/(COUNTA($D$25:$AG$25)-T21))*T22)/2</f>
        <v>0</v>
      </c>
      <c r="U15" s="22"/>
      <c r="V15" s="21">
        <f t="shared" ref="V15:AA15" ca="1" si="8">($F$11/(COUNTA($D$25:$AG$25)-V21))*V20+(($F$11/(COUNTA($D$25:$AG$25)-V21))*V22)/2</f>
        <v>0</v>
      </c>
      <c r="W15" s="22"/>
      <c r="X15" s="21">
        <f t="shared" ref="X15:AA15" ca="1" si="9">($F$11/(COUNTA($D$25:$AG$25)-X21))*X20+(($F$11/(COUNTA($D$25:$AG$25)-X21))*X22)/2</f>
        <v>0</v>
      </c>
      <c r="Y15" s="22"/>
      <c r="Z15" s="21">
        <f t="shared" ref="Z15:AA15" ca="1" si="10">($F$11/(COUNTA($D$25:$AG$25)-Z21))*Z20+(($F$11/(COUNTA($D$25:$AG$25)-Z21))*Z22)/2</f>
        <v>0</v>
      </c>
      <c r="AA15" s="22"/>
      <c r="AB15" s="11"/>
      <c r="AC15" s="23">
        <f ca="1">SUM(D15:AA15)</f>
        <v>22500</v>
      </c>
      <c r="AD15" s="31"/>
      <c r="AE15" s="26"/>
      <c r="AF15" s="11"/>
      <c r="AG15" s="11"/>
      <c r="AH15" s="11"/>
      <c r="AI15" s="41"/>
      <c r="AN15" s="40"/>
      <c r="AO15" s="67" t="s">
        <v>6</v>
      </c>
      <c r="AP15" s="65" t="s">
        <v>58</v>
      </c>
      <c r="AQ15" s="81" t="str">
        <f>VLOOKUP(AQ10,Setting!A5:N9,8,0)</f>
        <v>A123987</v>
      </c>
      <c r="AR15" s="47"/>
      <c r="AS15" s="47"/>
      <c r="AT15" s="47"/>
      <c r="AU15" s="47"/>
      <c r="AV15" s="81"/>
      <c r="AW15" s="81"/>
      <c r="AX15" s="81"/>
      <c r="AY15" s="4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</row>
    <row r="16" spans="2:62" x14ac:dyDescent="0.25">
      <c r="B16" s="40"/>
      <c r="C16" s="45" t="s">
        <v>77</v>
      </c>
      <c r="D16" s="21">
        <f>SUMIFS(Payment!D4:D8,Payment!A4:A8,Reports!F7,Payment!B4:B8,"&gt;=1/4/23",Payment!B4:B8,"&lt;1/5/23")</f>
        <v>20000</v>
      </c>
      <c r="E16" s="22"/>
      <c r="F16" s="21">
        <f>SUMIFS(Payment!D4:D8,Payment!A4:A8,Reports!F7,Payment!B4:B8,"&gt;=1/5/23",Payment!B4:B8,"&lt;1/6/23")</f>
        <v>0</v>
      </c>
      <c r="G16" s="22"/>
      <c r="H16" s="21">
        <f>SUMIFS(Payment!D4:D8,Payment!A4:A8,Reports!F7,Payment!B4:B8,"&gt;=1/6/23",Payment!B4:B8,"&lt;1/7/23")</f>
        <v>0</v>
      </c>
      <c r="I16" s="22"/>
      <c r="J16" s="21">
        <f>SUMIFS(Payment!D4:D8,Payment!A4:A8,Reports!F7,Payment!B4:B8,"&gt;=1/7/23",Payment!B4:B8,"&lt;1/8/23")</f>
        <v>0</v>
      </c>
      <c r="K16" s="22"/>
      <c r="L16" s="21">
        <f>SUMIFS(Payment!D4:D8,Payment!A4:A8,Reports!F7,Payment!B4:B8,"&gt;=1/8/23",Payment!B4:B8,"&lt;1/9/23")</f>
        <v>0</v>
      </c>
      <c r="M16" s="22"/>
      <c r="N16" s="21">
        <f>SUMIFS(Payment!D4:D8,Payment!A4:A8,Reports!F7,Payment!B4:B8,"&gt;=1/9/23",Payment!B4:B8,"&lt;1/10/23")</f>
        <v>0</v>
      </c>
      <c r="O16" s="22"/>
      <c r="P16" s="21">
        <f>SUMIFS(Payment!D4:D8,Payment!A4:A8,Reports!F7,Payment!B4:B8,"&gt;=1/10/23",Payment!B4:B8,"&lt;1/11/23")</f>
        <v>0</v>
      </c>
      <c r="Q16" s="22"/>
      <c r="R16" s="21">
        <f>SUMIFS(Payment!D4:D8,Payment!A4:A8,Reports!F7,Payment!B4:B8,"&gt;=1/11/23",Payment!B4:B8,"&lt;1/12/23")</f>
        <v>0</v>
      </c>
      <c r="S16" s="22"/>
      <c r="T16" s="21">
        <f>SUMIFS(Payment!D4:D8,Payment!A4:A8,Reports!F7,Payment!B4:B8,"&gt;=1/12/23",Payment!B4:B8,"&lt;1/1/24")</f>
        <v>0</v>
      </c>
      <c r="U16" s="22"/>
      <c r="V16" s="21">
        <f>SUMIFS(Payment!D4:D8,Payment!A4:A8,Reports!F7,Payment!B4:B8,"&gt;=1/1/24",Payment!B4:B8,"&lt;1/2/24")</f>
        <v>0</v>
      </c>
      <c r="W16" s="22"/>
      <c r="X16" s="21">
        <f>SUMIFS(Payment!D4:D8,Payment!A4:A8,Reports!F7,Payment!B4:B8,"&gt;=1/2/24",Payment!B4:B8,"&lt;1/3/24")</f>
        <v>0</v>
      </c>
      <c r="Y16" s="22"/>
      <c r="Z16" s="21">
        <f>SUMIFS(Payment!D4:D8,Payment!A4:A8,Reports!F7,Payment!B4:B8,"&gt;=1/3/24",Payment!B4:B8,"&lt;1/4/24")</f>
        <v>0</v>
      </c>
      <c r="AA16" s="22"/>
      <c r="AB16" s="11"/>
      <c r="AC16" s="23">
        <f>SUM(D16:AA16)</f>
        <v>20000</v>
      </c>
      <c r="AD16" s="31"/>
      <c r="AE16" s="26"/>
      <c r="AF16" s="11"/>
      <c r="AG16" s="11"/>
      <c r="AH16" s="11"/>
      <c r="AI16" s="41"/>
      <c r="AN16" s="40"/>
      <c r="AO16" s="11"/>
      <c r="AP16" s="11"/>
      <c r="AQ16" s="80"/>
      <c r="AR16" s="11"/>
      <c r="AS16" s="11"/>
      <c r="AT16" s="11"/>
      <c r="AU16" s="11"/>
      <c r="AV16" s="80"/>
      <c r="AW16" s="80"/>
      <c r="AX16" s="80"/>
      <c r="AY16" s="4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</row>
    <row r="17" spans="2:62" ht="21" x14ac:dyDescent="0.35">
      <c r="B17" s="40"/>
      <c r="C17" s="45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41"/>
      <c r="AN17" s="40"/>
      <c r="AO17" s="54" t="s">
        <v>91</v>
      </c>
      <c r="AP17" s="11"/>
      <c r="AQ17" s="80"/>
      <c r="AR17" s="11"/>
      <c r="AS17" s="11"/>
      <c r="AT17" s="11"/>
      <c r="AU17" s="11"/>
      <c r="AV17" s="80"/>
      <c r="AW17" s="80"/>
      <c r="AX17" s="80"/>
      <c r="AY17" s="4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</row>
    <row r="18" spans="2:62" ht="18.75" x14ac:dyDescent="0.3">
      <c r="B18" s="40"/>
      <c r="C18" s="45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24" t="s">
        <v>86</v>
      </c>
      <c r="AD18" s="76"/>
      <c r="AE18" s="77"/>
      <c r="AF18" s="11"/>
      <c r="AG18" s="11"/>
      <c r="AH18" s="11"/>
      <c r="AI18" s="41"/>
      <c r="AK18">
        <f ca="1">COUNTA(D25:AH25)-COUNTIF(D25:AG25,"o")</f>
        <v>20</v>
      </c>
      <c r="AN18" s="40"/>
      <c r="AO18" s="49" t="s">
        <v>54</v>
      </c>
      <c r="AP18" s="49" t="s">
        <v>58</v>
      </c>
      <c r="AQ18" s="79">
        <f ca="1">HLOOKUP($AW$6,$D$14:$AA$22,6,0)</f>
        <v>4</v>
      </c>
      <c r="AR18" s="29"/>
      <c r="AS18" s="29"/>
      <c r="AT18" s="49" t="s">
        <v>87</v>
      </c>
      <c r="AU18" s="49" t="s">
        <v>58</v>
      </c>
      <c r="AV18" s="82">
        <f ca="1">AV20/AV19</f>
        <v>1125</v>
      </c>
      <c r="AW18" s="82"/>
      <c r="AX18" s="82"/>
      <c r="AY18" s="4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2:62" x14ac:dyDescent="0.25">
      <c r="B19" s="40"/>
      <c r="C19" s="45" t="s">
        <v>54</v>
      </c>
      <c r="D19" s="21">
        <f ca="1">COUNTIF(D25:$AH$36, "A")</f>
        <v>4</v>
      </c>
      <c r="E19" s="22"/>
      <c r="F19" s="21"/>
      <c r="G19" s="22"/>
      <c r="H19" s="21"/>
      <c r="I19" s="22"/>
      <c r="J19" s="21"/>
      <c r="K19" s="22"/>
      <c r="L19" s="21"/>
      <c r="M19" s="22"/>
      <c r="N19" s="21"/>
      <c r="O19" s="22"/>
      <c r="P19" s="21"/>
      <c r="Q19" s="22"/>
      <c r="R19" s="21"/>
      <c r="S19" s="22"/>
      <c r="T19" s="21"/>
      <c r="U19" s="22"/>
      <c r="V19" s="21"/>
      <c r="W19" s="22"/>
      <c r="X19" s="21"/>
      <c r="Y19" s="22"/>
      <c r="Z19" s="21"/>
      <c r="AA19" s="22"/>
      <c r="AB19" s="11"/>
      <c r="AC19" s="19">
        <f ca="1">SUM(D19:AA19)</f>
        <v>4</v>
      </c>
      <c r="AD19" s="30"/>
      <c r="AE19" s="20"/>
      <c r="AF19" s="11"/>
      <c r="AG19" s="11"/>
      <c r="AH19" s="11"/>
      <c r="AI19" s="41"/>
      <c r="AK19">
        <f t="shared" ref="AK19:AK32" ca="1" si="11">COUNTA(D26:AH26)-COUNTIF(D26:AG26,"o")</f>
        <v>31</v>
      </c>
      <c r="AN19" s="40"/>
      <c r="AO19" s="45" t="s">
        <v>53</v>
      </c>
      <c r="AP19" s="52" t="s">
        <v>58</v>
      </c>
      <c r="AQ19" s="80">
        <f ca="1">HLOOKUP($AW$6,$D$14:$AA$22,7,0)</f>
        <v>14</v>
      </c>
      <c r="AR19" s="11"/>
      <c r="AS19" s="11"/>
      <c r="AT19" s="45" t="s">
        <v>88</v>
      </c>
      <c r="AU19" s="45" t="s">
        <v>58</v>
      </c>
      <c r="AV19" s="83">
        <f ca="1">INDEX(AK18:AK29,MATCH(AW6,C25:C36,0))</f>
        <v>20</v>
      </c>
      <c r="AW19" s="83"/>
      <c r="AX19" s="83"/>
      <c r="AY19" s="4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2:62" x14ac:dyDescent="0.25">
      <c r="B20" s="40"/>
      <c r="C20" s="45" t="s">
        <v>53</v>
      </c>
      <c r="D20" s="21">
        <f ca="1">COUNTIF($D25:$AH$36, "P")</f>
        <v>14</v>
      </c>
      <c r="E20" s="22"/>
      <c r="F20" s="21"/>
      <c r="G20" s="22"/>
      <c r="H20" s="21"/>
      <c r="I20" s="22"/>
      <c r="J20" s="21"/>
      <c r="K20" s="22"/>
      <c r="L20" s="21"/>
      <c r="M20" s="22"/>
      <c r="N20" s="21"/>
      <c r="O20" s="22"/>
      <c r="P20" s="21"/>
      <c r="Q20" s="22"/>
      <c r="R20" s="21"/>
      <c r="S20" s="22"/>
      <c r="T20" s="21"/>
      <c r="U20" s="22"/>
      <c r="V20" s="21"/>
      <c r="W20" s="22"/>
      <c r="X20" s="21"/>
      <c r="Y20" s="22"/>
      <c r="Z20" s="21"/>
      <c r="AA20" s="22"/>
      <c r="AB20" s="11"/>
      <c r="AC20" s="19">
        <f t="shared" ref="AC20:AC22" ca="1" si="12">SUM(D20:AA20)</f>
        <v>14</v>
      </c>
      <c r="AD20" s="30"/>
      <c r="AE20" s="20"/>
      <c r="AF20" s="11"/>
      <c r="AG20" s="11"/>
      <c r="AH20" s="11"/>
      <c r="AI20" s="41"/>
      <c r="AK20">
        <f t="shared" ca="1" si="11"/>
        <v>30</v>
      </c>
      <c r="AN20" s="40"/>
      <c r="AO20" s="52" t="s">
        <v>56</v>
      </c>
      <c r="AP20" s="52" t="s">
        <v>58</v>
      </c>
      <c r="AQ20" s="80">
        <f ca="1">HLOOKUP($AW$6,$D$14:$AA$22,9,0)</f>
        <v>2</v>
      </c>
      <c r="AR20" s="11"/>
      <c r="AS20" s="11"/>
      <c r="AT20" s="45" t="s">
        <v>89</v>
      </c>
      <c r="AU20" s="45" t="s">
        <v>58</v>
      </c>
      <c r="AV20" s="83">
        <f ca="1">HLOOKUP(AW6,D14:AA15,2,0)</f>
        <v>22500</v>
      </c>
      <c r="AW20" s="83"/>
      <c r="AX20" s="83"/>
      <c r="AY20" s="4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2:62" ht="15.75" thickBot="1" x14ac:dyDescent="0.3">
      <c r="B21" s="40"/>
      <c r="C21" s="45" t="s">
        <v>55</v>
      </c>
      <c r="D21" s="21">
        <f ca="1">COUNTIF(D25:AH36,"O")</f>
        <v>10</v>
      </c>
      <c r="E21" s="22"/>
      <c r="F21" s="21"/>
      <c r="G21" s="22"/>
      <c r="H21" s="21"/>
      <c r="I21" s="22"/>
      <c r="J21" s="21"/>
      <c r="K21" s="22"/>
      <c r="L21" s="21"/>
      <c r="M21" s="22"/>
      <c r="N21" s="21"/>
      <c r="O21" s="22"/>
      <c r="P21" s="21"/>
      <c r="Q21" s="22"/>
      <c r="R21" s="21"/>
      <c r="S21" s="22"/>
      <c r="T21" s="21"/>
      <c r="U21" s="22"/>
      <c r="V21" s="21"/>
      <c r="W21" s="22"/>
      <c r="X21" s="21"/>
      <c r="Y21" s="22"/>
      <c r="Z21" s="21"/>
      <c r="AA21" s="22"/>
      <c r="AB21" s="11"/>
      <c r="AC21" s="19">
        <f t="shared" ca="1" si="12"/>
        <v>10</v>
      </c>
      <c r="AD21" s="30"/>
      <c r="AE21" s="20"/>
      <c r="AF21" s="11"/>
      <c r="AG21" s="11"/>
      <c r="AH21" s="11"/>
      <c r="AI21" s="41"/>
      <c r="AK21">
        <f t="shared" ca="1" si="11"/>
        <v>31</v>
      </c>
      <c r="AN21" s="40"/>
      <c r="AO21" s="65" t="s">
        <v>55</v>
      </c>
      <c r="AP21" s="65" t="s">
        <v>58</v>
      </c>
      <c r="AQ21" s="81">
        <f ca="1">HLOOKUP($AW$6,$D$14:$AA$22,8,0)</f>
        <v>10</v>
      </c>
      <c r="AR21" s="47"/>
      <c r="AS21" s="47"/>
      <c r="AT21" s="47"/>
      <c r="AU21" s="47"/>
      <c r="AV21" s="47"/>
      <c r="AW21" s="47"/>
      <c r="AX21" s="47"/>
      <c r="AY21" s="4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2:62" x14ac:dyDescent="0.25">
      <c r="B22" s="40"/>
      <c r="C22" s="45" t="s">
        <v>79</v>
      </c>
      <c r="D22" s="21">
        <f ca="1">COUNTIF(D25:AH36,"H")</f>
        <v>2</v>
      </c>
      <c r="E22" s="22"/>
      <c r="F22" s="21"/>
      <c r="G22" s="22"/>
      <c r="H22" s="21"/>
      <c r="I22" s="22"/>
      <c r="J22" s="21"/>
      <c r="K22" s="22"/>
      <c r="L22" s="21"/>
      <c r="M22" s="22"/>
      <c r="N22" s="21"/>
      <c r="O22" s="22"/>
      <c r="P22" s="21"/>
      <c r="Q22" s="22"/>
      <c r="R22" s="21"/>
      <c r="S22" s="22"/>
      <c r="T22" s="21"/>
      <c r="U22" s="22"/>
      <c r="V22" s="21"/>
      <c r="W22" s="22"/>
      <c r="X22" s="21"/>
      <c r="Y22" s="22"/>
      <c r="Z22" s="21"/>
      <c r="AA22" s="22"/>
      <c r="AB22" s="11"/>
      <c r="AC22" s="19">
        <f t="shared" ca="1" si="12"/>
        <v>2</v>
      </c>
      <c r="AD22" s="30"/>
      <c r="AE22" s="20"/>
      <c r="AF22" s="11"/>
      <c r="AG22" s="11"/>
      <c r="AH22" s="11"/>
      <c r="AI22" s="41"/>
      <c r="AK22">
        <f t="shared" ca="1" si="11"/>
        <v>31</v>
      </c>
      <c r="AN22" s="40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4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2:62" ht="21" x14ac:dyDescent="0.35">
      <c r="B23" s="4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41"/>
      <c r="AK23">
        <f t="shared" ca="1" si="11"/>
        <v>30</v>
      </c>
      <c r="AN23" s="40"/>
      <c r="AO23" s="55" t="s">
        <v>92</v>
      </c>
      <c r="AP23" s="11"/>
      <c r="AQ23" s="11"/>
      <c r="AR23" s="11"/>
      <c r="AS23" s="11"/>
      <c r="AT23" s="11"/>
      <c r="AU23" s="11"/>
      <c r="AV23" s="11"/>
      <c r="AW23" s="11"/>
      <c r="AX23" s="11"/>
      <c r="AY23" s="41"/>
    </row>
    <row r="24" spans="2:62" ht="21" x14ac:dyDescent="0.35">
      <c r="B24" s="40"/>
      <c r="C24" s="35" t="s">
        <v>80</v>
      </c>
      <c r="D24" s="33">
        <v>1</v>
      </c>
      <c r="E24" s="33">
        <v>2</v>
      </c>
      <c r="F24" s="33">
        <v>3</v>
      </c>
      <c r="G24" s="33">
        <v>4</v>
      </c>
      <c r="H24" s="33">
        <v>5</v>
      </c>
      <c r="I24" s="33">
        <v>6</v>
      </c>
      <c r="J24" s="33">
        <v>7</v>
      </c>
      <c r="K24" s="33">
        <v>8</v>
      </c>
      <c r="L24" s="33">
        <v>9</v>
      </c>
      <c r="M24" s="33">
        <v>10</v>
      </c>
      <c r="N24" s="33">
        <v>11</v>
      </c>
      <c r="O24" s="33">
        <v>12</v>
      </c>
      <c r="P24" s="33">
        <v>13</v>
      </c>
      <c r="Q24" s="33">
        <v>14</v>
      </c>
      <c r="R24" s="33">
        <v>15</v>
      </c>
      <c r="S24" s="33">
        <v>16</v>
      </c>
      <c r="T24" s="33">
        <v>17</v>
      </c>
      <c r="U24" s="33">
        <v>18</v>
      </c>
      <c r="V24" s="33">
        <v>19</v>
      </c>
      <c r="W24" s="33">
        <v>20</v>
      </c>
      <c r="X24" s="33">
        <v>21</v>
      </c>
      <c r="Y24" s="33">
        <v>22</v>
      </c>
      <c r="Z24" s="33">
        <v>23</v>
      </c>
      <c r="AA24" s="33">
        <v>24</v>
      </c>
      <c r="AB24" s="33">
        <v>25</v>
      </c>
      <c r="AC24" s="33">
        <v>26</v>
      </c>
      <c r="AD24" s="33">
        <v>27</v>
      </c>
      <c r="AE24" s="33">
        <v>28</v>
      </c>
      <c r="AF24" s="33">
        <v>29</v>
      </c>
      <c r="AG24" s="33">
        <v>30</v>
      </c>
      <c r="AH24" s="33">
        <v>31</v>
      </c>
      <c r="AI24" s="41"/>
      <c r="AK24">
        <f t="shared" ca="1" si="11"/>
        <v>31</v>
      </c>
      <c r="AN24" s="40"/>
      <c r="AO24" s="56" t="s">
        <v>100</v>
      </c>
      <c r="AP24" s="13"/>
      <c r="AQ24" s="13"/>
      <c r="AR24" s="13"/>
      <c r="AS24" s="12"/>
      <c r="AT24" s="57" t="s">
        <v>101</v>
      </c>
      <c r="AU24" s="13"/>
      <c r="AV24" s="13"/>
      <c r="AW24" s="13"/>
      <c r="AX24" s="14"/>
      <c r="AY24" s="41"/>
    </row>
    <row r="25" spans="2:62" ht="18.75" x14ac:dyDescent="0.3">
      <c r="B25" s="40"/>
      <c r="C25" s="36" t="s">
        <v>64</v>
      </c>
      <c r="D25" s="7" t="str" cm="1">
        <f t="array" aca="1" ref="D25" ca="1">VLOOKUP($F$7, INDIRECT($C25), COLUMN(E:E),0)</f>
        <v>O</v>
      </c>
      <c r="E25" s="7" t="str" cm="1">
        <f t="array" aca="1" ref="E25" ca="1">VLOOKUP($F$7, INDIRECT($C25), COLUMN(F:F),0)</f>
        <v>O</v>
      </c>
      <c r="F25" s="7" t="str" cm="1">
        <f t="array" aca="1" ref="F25" ca="1">VLOOKUP($F$7, INDIRECT($C25), COLUMN(G:G),0)</f>
        <v>P</v>
      </c>
      <c r="G25" s="7" t="str" cm="1">
        <f t="array" aca="1" ref="G25" ca="1">VLOOKUP($F$7, INDIRECT($C25), COLUMN(H:H),0)</f>
        <v>P</v>
      </c>
      <c r="H25" s="7" t="str" cm="1">
        <f t="array" aca="1" ref="H25" ca="1">VLOOKUP($F$7, INDIRECT($C25), COLUMN(I:I),0)</f>
        <v>P</v>
      </c>
      <c r="I25" s="7" t="str" cm="1">
        <f t="array" aca="1" ref="I25" ca="1">VLOOKUP($F$7, INDIRECT($C25), COLUMN(J:J),0)</f>
        <v>P</v>
      </c>
      <c r="J25" s="7" t="str" cm="1">
        <f t="array" aca="1" ref="J25" ca="1">VLOOKUP($F$7, INDIRECT($C25), COLUMN(K:K),0)</f>
        <v>P</v>
      </c>
      <c r="K25" s="7" t="str" cm="1">
        <f t="array" aca="1" ref="K25" ca="1">VLOOKUP($F$7, INDIRECT($C25), COLUMN(L:L),0)</f>
        <v>O</v>
      </c>
      <c r="L25" s="7" t="str" cm="1">
        <f t="array" aca="1" ref="L25" ca="1">VLOOKUP($F$7, INDIRECT($C25), COLUMN(M:M),0)</f>
        <v>O</v>
      </c>
      <c r="M25" s="7" t="str" cm="1">
        <f t="array" aca="1" ref="M25" ca="1">VLOOKUP($F$7, INDIRECT($C25), COLUMN(N:N),0)</f>
        <v>A</v>
      </c>
      <c r="N25" s="7" t="str" cm="1">
        <f t="array" aca="1" ref="N25" ca="1">VLOOKUP($F$7, INDIRECT($C25), COLUMN(O:O),0)</f>
        <v>A</v>
      </c>
      <c r="O25" s="7" t="str" cm="1">
        <f t="array" aca="1" ref="O25" ca="1">VLOOKUP($F$7, INDIRECT($C25), COLUMN(P:P),0)</f>
        <v>P</v>
      </c>
      <c r="P25" s="7" t="str" cm="1">
        <f t="array" aca="1" ref="P25" ca="1">VLOOKUP($F$7, INDIRECT($C25), COLUMN(Q:Q),0)</f>
        <v>P</v>
      </c>
      <c r="Q25" s="7" t="str" cm="1">
        <f t="array" aca="1" ref="Q25" ca="1">VLOOKUP($F$7, INDIRECT($C25), COLUMN(R:R),0)</f>
        <v>P</v>
      </c>
      <c r="R25" s="7" t="str" cm="1">
        <f t="array" aca="1" ref="R25" ca="1">VLOOKUP($F$7, INDIRECT($C25), COLUMN(S:S),0)</f>
        <v>O</v>
      </c>
      <c r="S25" s="7" t="str" cm="1">
        <f t="array" aca="1" ref="S25" ca="1">VLOOKUP($F$7, INDIRECT($C25), COLUMN(T:T),0)</f>
        <v>O</v>
      </c>
      <c r="T25" s="7" t="str" cm="1">
        <f t="array" aca="1" ref="T25" ca="1">VLOOKUP($F$7, INDIRECT($C25), COLUMN(U:U),0)</f>
        <v>A</v>
      </c>
      <c r="U25" s="7" t="str" cm="1">
        <f t="array" aca="1" ref="U25" ca="1">VLOOKUP($F$7, INDIRECT($C25), COLUMN(V:V),0)</f>
        <v>P</v>
      </c>
      <c r="V25" s="7" t="str" cm="1">
        <f t="array" aca="1" ref="V25" ca="1">VLOOKUP($F$7, INDIRECT($C25), COLUMN(W:W),0)</f>
        <v>P</v>
      </c>
      <c r="W25" s="7" t="str" cm="1">
        <f t="array" aca="1" ref="W25" ca="1">VLOOKUP($F$7, INDIRECT($C25), COLUMN(X:X),0)</f>
        <v>P</v>
      </c>
      <c r="X25" s="7" t="str" cm="1">
        <f t="array" aca="1" ref="X25" ca="1">VLOOKUP($F$7, INDIRECT($C25), COLUMN(Y:Y),0)</f>
        <v>P</v>
      </c>
      <c r="Y25" s="7" t="str" cm="1">
        <f t="array" aca="1" ref="Y25" ca="1">VLOOKUP($F$7, INDIRECT($C25), COLUMN(Z:Z),0)</f>
        <v>O</v>
      </c>
      <c r="Z25" s="7" t="str" cm="1">
        <f t="array" aca="1" ref="Z25" ca="1">VLOOKUP($F$7, INDIRECT($C25), COLUMN(AA:AA),0)</f>
        <v>O</v>
      </c>
      <c r="AA25" s="7" t="str" cm="1">
        <f t="array" aca="1" ref="AA25" ca="1">VLOOKUP($F$7, INDIRECT($C25), COLUMN(AB:AB),0)</f>
        <v>H</v>
      </c>
      <c r="AB25" s="7" t="str" cm="1">
        <f t="array" aca="1" ref="AB25" ca="1">VLOOKUP($F$7, INDIRECT($C25), COLUMN(AC:AC),0)</f>
        <v>A</v>
      </c>
      <c r="AC25" s="7" t="str" cm="1">
        <f t="array" aca="1" ref="AC25" ca="1">VLOOKUP($F$7, INDIRECT($C25), COLUMN(AD:AD),0)</f>
        <v>H</v>
      </c>
      <c r="AD25" s="7" t="str" cm="1">
        <f t="array" aca="1" ref="AD25" ca="1">VLOOKUP($F$7, INDIRECT($C25), COLUMN(AE:AE),0)</f>
        <v>P</v>
      </c>
      <c r="AE25" s="7" t="str" cm="1">
        <f t="array" aca="1" ref="AE25" ca="1">VLOOKUP($F$7, INDIRECT($C25), COLUMN(AF:AF),0)</f>
        <v>P</v>
      </c>
      <c r="AF25" s="7" t="str" cm="1">
        <f t="array" aca="1" ref="AF25" ca="1">VLOOKUP($F$7, INDIRECT($C25), COLUMN(AG:AG),0)</f>
        <v>O</v>
      </c>
      <c r="AG25" s="7" t="str" cm="1">
        <f t="array" aca="1" ref="AG25" ca="1">VLOOKUP($F$7, INDIRECT($C25), COLUMN(AH:AH),0)</f>
        <v>O</v>
      </c>
      <c r="AH25" s="7"/>
      <c r="AI25" s="41"/>
      <c r="AK25">
        <f t="shared" ca="1" si="11"/>
        <v>30</v>
      </c>
      <c r="AN25" s="40"/>
      <c r="AO25" s="85" t="s">
        <v>76</v>
      </c>
      <c r="AP25" s="45"/>
      <c r="AQ25" s="45">
        <f ca="1">HLOOKUP(AW6,D14:AA16,2,0)</f>
        <v>22500</v>
      </c>
      <c r="AR25" s="11"/>
      <c r="AS25" s="16"/>
      <c r="AT25" s="11"/>
      <c r="AU25" s="11"/>
      <c r="AV25" s="11"/>
      <c r="AW25" s="11"/>
      <c r="AX25" s="18"/>
      <c r="AY25" s="41"/>
    </row>
    <row r="26" spans="2:62" ht="18.75" x14ac:dyDescent="0.3">
      <c r="B26" s="40"/>
      <c r="C26" s="36" t="s">
        <v>65</v>
      </c>
      <c r="D26" s="7" cm="1">
        <f t="array" aca="1" ref="D26" ca="1">VLOOKUP($F$7, INDIRECT($C26), COLUMN(E:E),0)</f>
        <v>0</v>
      </c>
      <c r="E26" s="7" cm="1">
        <f t="array" aca="1" ref="E26" ca="1">VLOOKUP($F$7, INDIRECT($C26), COLUMN(F:F),0)</f>
        <v>0</v>
      </c>
      <c r="F26" s="7" cm="1">
        <f t="array" aca="1" ref="F26" ca="1">VLOOKUP($F$7, INDIRECT($C26), COLUMN(G:G),0)</f>
        <v>0</v>
      </c>
      <c r="G26" s="7" cm="1">
        <f t="array" aca="1" ref="G26" ca="1">VLOOKUP($F$7, INDIRECT($C26), COLUMN(H:H),0)</f>
        <v>0</v>
      </c>
      <c r="H26" s="7" cm="1">
        <f t="array" aca="1" ref="H26" ca="1">VLOOKUP($F$7, INDIRECT($C26), COLUMN(I:I),0)</f>
        <v>0</v>
      </c>
      <c r="I26" s="7" cm="1">
        <f t="array" aca="1" ref="I26" ca="1">VLOOKUP($F$7, INDIRECT($C26), COLUMN(J:J),0)</f>
        <v>0</v>
      </c>
      <c r="J26" s="7" cm="1">
        <f t="array" aca="1" ref="J26" ca="1">VLOOKUP($F$7, INDIRECT($C26), COLUMN(K:K),0)</f>
        <v>0</v>
      </c>
      <c r="K26" s="7" cm="1">
        <f t="array" aca="1" ref="K26" ca="1">VLOOKUP($F$7, INDIRECT($C26), COLUMN(L:L),0)</f>
        <v>0</v>
      </c>
      <c r="L26" s="7" cm="1">
        <f t="array" aca="1" ref="L26" ca="1">VLOOKUP($F$7, INDIRECT($C26), COLUMN(M:M),0)</f>
        <v>0</v>
      </c>
      <c r="M26" s="7" cm="1">
        <f t="array" aca="1" ref="M26" ca="1">VLOOKUP($F$7, INDIRECT($C26), COLUMN(N:N),0)</f>
        <v>0</v>
      </c>
      <c r="N26" s="7" cm="1">
        <f t="array" aca="1" ref="N26" ca="1">VLOOKUP($F$7, INDIRECT($C26), COLUMN(O:O),0)</f>
        <v>0</v>
      </c>
      <c r="O26" s="7" cm="1">
        <f t="array" aca="1" ref="O26" ca="1">VLOOKUP($F$7, INDIRECT($C26), COLUMN(P:P),0)</f>
        <v>0</v>
      </c>
      <c r="P26" s="7" cm="1">
        <f t="array" aca="1" ref="P26" ca="1">VLOOKUP($F$7, INDIRECT($C26), COLUMN(Q:Q),0)</f>
        <v>0</v>
      </c>
      <c r="Q26" s="7" cm="1">
        <f t="array" aca="1" ref="Q26" ca="1">VLOOKUP($F$7, INDIRECT($C26), COLUMN(R:R),0)</f>
        <v>0</v>
      </c>
      <c r="R26" s="7" cm="1">
        <f t="array" aca="1" ref="R26" ca="1">VLOOKUP($F$7, INDIRECT($C26), COLUMN(S:S),0)</f>
        <v>0</v>
      </c>
      <c r="S26" s="7" cm="1">
        <f t="array" aca="1" ref="S26" ca="1">VLOOKUP($F$7, INDIRECT($C26), COLUMN(T:T),0)</f>
        <v>0</v>
      </c>
      <c r="T26" s="7" cm="1">
        <f t="array" aca="1" ref="T26" ca="1">VLOOKUP($F$7, INDIRECT($C26), COLUMN(U:U),0)</f>
        <v>0</v>
      </c>
      <c r="U26" s="7" cm="1">
        <f t="array" aca="1" ref="U26" ca="1">VLOOKUP($F$7, INDIRECT($C26), COLUMN(V:V),0)</f>
        <v>0</v>
      </c>
      <c r="V26" s="7" cm="1">
        <f t="array" aca="1" ref="V26" ca="1">VLOOKUP($F$7, INDIRECT($C26), COLUMN(W:W),0)</f>
        <v>0</v>
      </c>
      <c r="W26" s="7" cm="1">
        <f t="array" aca="1" ref="W26" ca="1">VLOOKUP($F$7, INDIRECT($C26), COLUMN(X:X),0)</f>
        <v>0</v>
      </c>
      <c r="X26" s="7" cm="1">
        <f t="array" aca="1" ref="X26" ca="1">VLOOKUP($F$7, INDIRECT($C26), COLUMN(Y:Y),0)</f>
        <v>0</v>
      </c>
      <c r="Y26" s="7" cm="1">
        <f t="array" aca="1" ref="Y26" ca="1">VLOOKUP($F$7, INDIRECT($C26), COLUMN(Z:Z),0)</f>
        <v>0</v>
      </c>
      <c r="Z26" s="7" cm="1">
        <f t="array" aca="1" ref="Z26" ca="1">VLOOKUP($F$7, INDIRECT($C26), COLUMN(AA:AA),0)</f>
        <v>0</v>
      </c>
      <c r="AA26" s="7" cm="1">
        <f t="array" aca="1" ref="AA26" ca="1">VLOOKUP($F$7, INDIRECT($C26), COLUMN(AB:AB),0)</f>
        <v>0</v>
      </c>
      <c r="AB26" s="7" cm="1">
        <f t="array" aca="1" ref="AB26" ca="1">VLOOKUP($F$7, INDIRECT($C26), COLUMN(AC:AC),0)</f>
        <v>0</v>
      </c>
      <c r="AC26" s="7" cm="1">
        <f t="array" aca="1" ref="AC26" ca="1">VLOOKUP($F$7, INDIRECT($C26), COLUMN(AD:AD),0)</f>
        <v>0</v>
      </c>
      <c r="AD26" s="7" cm="1">
        <f t="array" aca="1" ref="AD26" ca="1">VLOOKUP($F$7, INDIRECT($C26), COLUMN(AE:AE),0)</f>
        <v>0</v>
      </c>
      <c r="AE26" s="7" cm="1">
        <f t="array" aca="1" ref="AE26" ca="1">VLOOKUP($F$7, INDIRECT($C26), COLUMN(AF:AF),0)</f>
        <v>0</v>
      </c>
      <c r="AF26" s="7" cm="1">
        <f t="array" aca="1" ref="AF26" ca="1">VLOOKUP($F$7, INDIRECT($C26), COLUMN(AG:AG),0)</f>
        <v>0</v>
      </c>
      <c r="AG26" s="7" cm="1">
        <f t="array" aca="1" ref="AG26" ca="1">VLOOKUP($F$7, INDIRECT($C26), COLUMN(AH:AH),0)</f>
        <v>0</v>
      </c>
      <c r="AH26" s="7" cm="1">
        <f t="array" aca="1" ref="AH26" ca="1">VLOOKUP($F$7, INDIRECT($C26), COLUMN(AI:AI),0)</f>
        <v>0</v>
      </c>
      <c r="AI26" s="41"/>
      <c r="AK26">
        <f t="shared" ca="1" si="11"/>
        <v>31</v>
      </c>
      <c r="AN26" s="40"/>
      <c r="AO26" s="85"/>
      <c r="AP26" s="45"/>
      <c r="AQ26" s="45"/>
      <c r="AR26" s="11"/>
      <c r="AS26" s="17"/>
      <c r="AT26" s="11"/>
      <c r="AU26" s="11"/>
      <c r="AV26" s="11"/>
      <c r="AW26" s="11"/>
      <c r="AX26" s="18"/>
      <c r="AY26" s="41"/>
    </row>
    <row r="27" spans="2:62" ht="18.75" x14ac:dyDescent="0.3">
      <c r="B27" s="40"/>
      <c r="C27" s="36" t="s">
        <v>66</v>
      </c>
      <c r="D27" s="7" cm="1">
        <f t="array" aca="1" ref="D27" ca="1">VLOOKUP($F$7, INDIRECT($C27), COLUMN(E:E),0)</f>
        <v>0</v>
      </c>
      <c r="E27" s="7" cm="1">
        <f t="array" aca="1" ref="E27" ca="1">VLOOKUP($F$7, INDIRECT($C27), COLUMN(F:F),0)</f>
        <v>0</v>
      </c>
      <c r="F27" s="7" cm="1">
        <f t="array" aca="1" ref="F27" ca="1">VLOOKUP($F$7, INDIRECT($C27), COLUMN(G:G),0)</f>
        <v>0</v>
      </c>
      <c r="G27" s="7" cm="1">
        <f t="array" aca="1" ref="G27" ca="1">VLOOKUP($F$7, INDIRECT($C27), COLUMN(H:H),0)</f>
        <v>0</v>
      </c>
      <c r="H27" s="7" cm="1">
        <f t="array" aca="1" ref="H27" ca="1">VLOOKUP($F$7, INDIRECT($C27), COLUMN(I:I),0)</f>
        <v>0</v>
      </c>
      <c r="I27" s="7" cm="1">
        <f t="array" aca="1" ref="I27" ca="1">VLOOKUP($F$7, INDIRECT($C27), COLUMN(J:J),0)</f>
        <v>0</v>
      </c>
      <c r="J27" s="7" cm="1">
        <f t="array" aca="1" ref="J27" ca="1">VLOOKUP($F$7, INDIRECT($C27), COLUMN(K:K),0)</f>
        <v>0</v>
      </c>
      <c r="K27" s="7" cm="1">
        <f t="array" aca="1" ref="K27" ca="1">VLOOKUP($F$7, INDIRECT($C27), COLUMN(L:L),0)</f>
        <v>0</v>
      </c>
      <c r="L27" s="7" cm="1">
        <f t="array" aca="1" ref="L27" ca="1">VLOOKUP($F$7, INDIRECT($C27), COLUMN(M:M),0)</f>
        <v>0</v>
      </c>
      <c r="M27" s="7" cm="1">
        <f t="array" aca="1" ref="M27" ca="1">VLOOKUP($F$7, INDIRECT($C27), COLUMN(N:N),0)</f>
        <v>0</v>
      </c>
      <c r="N27" s="7" cm="1">
        <f t="array" aca="1" ref="N27" ca="1">VLOOKUP($F$7, INDIRECT($C27), COLUMN(O:O),0)</f>
        <v>0</v>
      </c>
      <c r="O27" s="7" cm="1">
        <f t="array" aca="1" ref="O27" ca="1">VLOOKUP($F$7, INDIRECT($C27), COLUMN(P:P),0)</f>
        <v>0</v>
      </c>
      <c r="P27" s="7" cm="1">
        <f t="array" aca="1" ref="P27" ca="1">VLOOKUP($F$7, INDIRECT($C27), COLUMN(Q:Q),0)</f>
        <v>0</v>
      </c>
      <c r="Q27" s="7" cm="1">
        <f t="array" aca="1" ref="Q27" ca="1">VLOOKUP($F$7, INDIRECT($C27), COLUMN(R:R),0)</f>
        <v>0</v>
      </c>
      <c r="R27" s="7" cm="1">
        <f t="array" aca="1" ref="R27" ca="1">VLOOKUP($F$7, INDIRECT($C27), COLUMN(S:S),0)</f>
        <v>0</v>
      </c>
      <c r="S27" s="7" cm="1">
        <f t="array" aca="1" ref="S27" ca="1">VLOOKUP($F$7, INDIRECT($C27), COLUMN(T:T),0)</f>
        <v>0</v>
      </c>
      <c r="T27" s="7" cm="1">
        <f t="array" aca="1" ref="T27" ca="1">VLOOKUP($F$7, INDIRECT($C27), COLUMN(U:U),0)</f>
        <v>0</v>
      </c>
      <c r="U27" s="7" cm="1">
        <f t="array" aca="1" ref="U27" ca="1">VLOOKUP($F$7, INDIRECT($C27), COLUMN(V:V),0)</f>
        <v>0</v>
      </c>
      <c r="V27" s="7" cm="1">
        <f t="array" aca="1" ref="V27" ca="1">VLOOKUP($F$7, INDIRECT($C27), COLUMN(W:W),0)</f>
        <v>0</v>
      </c>
      <c r="W27" s="7" cm="1">
        <f t="array" aca="1" ref="W27" ca="1">VLOOKUP($F$7, INDIRECT($C27), COLUMN(X:X),0)</f>
        <v>0</v>
      </c>
      <c r="X27" s="7" cm="1">
        <f t="array" aca="1" ref="X27" ca="1">VLOOKUP($F$7, INDIRECT($C27), COLUMN(Y:Y),0)</f>
        <v>0</v>
      </c>
      <c r="Y27" s="7" cm="1">
        <f t="array" aca="1" ref="Y27" ca="1">VLOOKUP($F$7, INDIRECT($C27), COLUMN(Z:Z),0)</f>
        <v>0</v>
      </c>
      <c r="Z27" s="7" cm="1">
        <f t="array" aca="1" ref="Z27" ca="1">VLOOKUP($F$7, INDIRECT($C27), COLUMN(AA:AA),0)</f>
        <v>0</v>
      </c>
      <c r="AA27" s="7" cm="1">
        <f t="array" aca="1" ref="AA27" ca="1">VLOOKUP($F$7, INDIRECT($C27), COLUMN(AB:AB),0)</f>
        <v>0</v>
      </c>
      <c r="AB27" s="7" cm="1">
        <f t="array" aca="1" ref="AB27" ca="1">VLOOKUP($F$7, INDIRECT($C27), COLUMN(AC:AC),0)</f>
        <v>0</v>
      </c>
      <c r="AC27" s="7" cm="1">
        <f t="array" aca="1" ref="AC27" ca="1">VLOOKUP($F$7, INDIRECT($C27), COLUMN(AD:AD),0)</f>
        <v>0</v>
      </c>
      <c r="AD27" s="7" cm="1">
        <f t="array" aca="1" ref="AD27" ca="1">VLOOKUP($F$7, INDIRECT($C27), COLUMN(AE:AE),0)</f>
        <v>0</v>
      </c>
      <c r="AE27" s="7" cm="1">
        <f t="array" aca="1" ref="AE27" ca="1">VLOOKUP($F$7, INDIRECT($C27), COLUMN(AF:AF),0)</f>
        <v>0</v>
      </c>
      <c r="AF27" s="7" cm="1">
        <f t="array" aca="1" ref="AF27" ca="1">VLOOKUP($F$7, INDIRECT($C27), COLUMN(AG:AG),0)</f>
        <v>0</v>
      </c>
      <c r="AG27" s="7" cm="1">
        <f t="array" aca="1" ref="AG27" ca="1">VLOOKUP($F$7, INDIRECT($C27), COLUMN(AH:AH),0)</f>
        <v>0</v>
      </c>
      <c r="AH27" s="7"/>
      <c r="AI27" s="41"/>
      <c r="AK27">
        <f t="shared" ca="1" si="11"/>
        <v>31</v>
      </c>
      <c r="AN27" s="40"/>
      <c r="AO27" s="85"/>
      <c r="AP27" s="45"/>
      <c r="AQ27" s="45"/>
      <c r="AR27" s="11"/>
      <c r="AS27" s="17"/>
      <c r="AT27" s="11"/>
      <c r="AU27" s="11"/>
      <c r="AV27" s="11"/>
      <c r="AW27" s="11"/>
      <c r="AX27" s="18"/>
      <c r="AY27" s="41"/>
    </row>
    <row r="28" spans="2:62" ht="18.75" x14ac:dyDescent="0.3">
      <c r="B28" s="40"/>
      <c r="C28" s="36" t="s">
        <v>67</v>
      </c>
      <c r="D28" s="7" cm="1">
        <f t="array" aca="1" ref="D28" ca="1">VLOOKUP($F$7, INDIRECT($C28), COLUMN(E:E),0)</f>
        <v>0</v>
      </c>
      <c r="E28" s="7" cm="1">
        <f t="array" aca="1" ref="E28" ca="1">VLOOKUP($F$7, INDIRECT($C28), COLUMN(F:F),0)</f>
        <v>0</v>
      </c>
      <c r="F28" s="7" cm="1">
        <f t="array" aca="1" ref="F28" ca="1">VLOOKUP($F$7, INDIRECT($C28), COLUMN(G:G),0)</f>
        <v>0</v>
      </c>
      <c r="G28" s="7" cm="1">
        <f t="array" aca="1" ref="G28" ca="1">VLOOKUP($F$7, INDIRECT($C28), COLUMN(H:H),0)</f>
        <v>0</v>
      </c>
      <c r="H28" s="7" cm="1">
        <f t="array" aca="1" ref="H28" ca="1">VLOOKUP($F$7, INDIRECT($C28), COLUMN(I:I),0)</f>
        <v>0</v>
      </c>
      <c r="I28" s="7" cm="1">
        <f t="array" aca="1" ref="I28" ca="1">VLOOKUP($F$7, INDIRECT($C28), COLUMN(J:J),0)</f>
        <v>0</v>
      </c>
      <c r="J28" s="7" cm="1">
        <f t="array" aca="1" ref="J28" ca="1">VLOOKUP($F$7, INDIRECT($C28), COLUMN(K:K),0)</f>
        <v>0</v>
      </c>
      <c r="K28" s="7" cm="1">
        <f t="array" aca="1" ref="K28" ca="1">VLOOKUP($F$7, INDIRECT($C28), COLUMN(L:L),0)</f>
        <v>0</v>
      </c>
      <c r="L28" s="7" cm="1">
        <f t="array" aca="1" ref="L28" ca="1">VLOOKUP($F$7, INDIRECT($C28), COLUMN(M:M),0)</f>
        <v>0</v>
      </c>
      <c r="M28" s="7" cm="1">
        <f t="array" aca="1" ref="M28" ca="1">VLOOKUP($F$7, INDIRECT($C28), COLUMN(N:N),0)</f>
        <v>0</v>
      </c>
      <c r="N28" s="7" cm="1">
        <f t="array" aca="1" ref="N28" ca="1">VLOOKUP($F$7, INDIRECT($C28), COLUMN(O:O),0)</f>
        <v>0</v>
      </c>
      <c r="O28" s="7" cm="1">
        <f t="array" aca="1" ref="O28" ca="1">VLOOKUP($F$7, INDIRECT($C28), COLUMN(P:P),0)</f>
        <v>0</v>
      </c>
      <c r="P28" s="7" cm="1">
        <f t="array" aca="1" ref="P28" ca="1">VLOOKUP($F$7, INDIRECT($C28), COLUMN(Q:Q),0)</f>
        <v>0</v>
      </c>
      <c r="Q28" s="7" cm="1">
        <f t="array" aca="1" ref="Q28" ca="1">VLOOKUP($F$7, INDIRECT($C28), COLUMN(R:R),0)</f>
        <v>0</v>
      </c>
      <c r="R28" s="7" cm="1">
        <f t="array" aca="1" ref="R28" ca="1">VLOOKUP($F$7, INDIRECT($C28), COLUMN(S:S),0)</f>
        <v>0</v>
      </c>
      <c r="S28" s="7" cm="1">
        <f t="array" aca="1" ref="S28" ca="1">VLOOKUP($F$7, INDIRECT($C28), COLUMN(T:T),0)</f>
        <v>0</v>
      </c>
      <c r="T28" s="7" cm="1">
        <f t="array" aca="1" ref="T28" ca="1">VLOOKUP($F$7, INDIRECT($C28), COLUMN(U:U),0)</f>
        <v>0</v>
      </c>
      <c r="U28" s="7" cm="1">
        <f t="array" aca="1" ref="U28" ca="1">VLOOKUP($F$7, INDIRECT($C28), COLUMN(V:V),0)</f>
        <v>0</v>
      </c>
      <c r="V28" s="7" cm="1">
        <f t="array" aca="1" ref="V28" ca="1">VLOOKUP($F$7, INDIRECT($C28), COLUMN(W:W),0)</f>
        <v>0</v>
      </c>
      <c r="W28" s="7" cm="1">
        <f t="array" aca="1" ref="W28" ca="1">VLOOKUP($F$7, INDIRECT($C28), COLUMN(X:X),0)</f>
        <v>0</v>
      </c>
      <c r="X28" s="7" cm="1">
        <f t="array" aca="1" ref="X28" ca="1">VLOOKUP($F$7, INDIRECT($C28), COLUMN(Y:Y),0)</f>
        <v>0</v>
      </c>
      <c r="Y28" s="7" cm="1">
        <f t="array" aca="1" ref="Y28" ca="1">VLOOKUP($F$7, INDIRECT($C28), COLUMN(Z:Z),0)</f>
        <v>0</v>
      </c>
      <c r="Z28" s="7" cm="1">
        <f t="array" aca="1" ref="Z28" ca="1">VLOOKUP($F$7, INDIRECT($C28), COLUMN(AA:AA),0)</f>
        <v>0</v>
      </c>
      <c r="AA28" s="7" cm="1">
        <f t="array" aca="1" ref="AA28" ca="1">VLOOKUP($F$7, INDIRECT($C28), COLUMN(AB:AB),0)</f>
        <v>0</v>
      </c>
      <c r="AB28" s="7" cm="1">
        <f t="array" aca="1" ref="AB28" ca="1">VLOOKUP($F$7, INDIRECT($C28), COLUMN(AC:AC),0)</f>
        <v>0</v>
      </c>
      <c r="AC28" s="7" cm="1">
        <f t="array" aca="1" ref="AC28" ca="1">VLOOKUP($F$7, INDIRECT($C28), COLUMN(AD:AD),0)</f>
        <v>0</v>
      </c>
      <c r="AD28" s="7" cm="1">
        <f t="array" aca="1" ref="AD28" ca="1">VLOOKUP($F$7, INDIRECT($C28), COLUMN(AE:AE),0)</f>
        <v>0</v>
      </c>
      <c r="AE28" s="7" cm="1">
        <f t="array" aca="1" ref="AE28" ca="1">VLOOKUP($F$7, INDIRECT($C28), COLUMN(AF:AF),0)</f>
        <v>0</v>
      </c>
      <c r="AF28" s="7" cm="1">
        <f t="array" aca="1" ref="AF28" ca="1">VLOOKUP($F$7, INDIRECT($C28), COLUMN(AG:AG),0)</f>
        <v>0</v>
      </c>
      <c r="AG28" s="7" cm="1">
        <f t="array" aca="1" ref="AG28" ca="1">VLOOKUP($F$7, INDIRECT($C28), COLUMN(AH:AH),0)</f>
        <v>0</v>
      </c>
      <c r="AH28" s="7" cm="1">
        <f t="array" aca="1" ref="AH28" ca="1">VLOOKUP($F$7, INDIRECT($C28), COLUMN(AI:AI),0)</f>
        <v>0</v>
      </c>
      <c r="AI28" s="41"/>
      <c r="AK28">
        <f t="shared" ca="1" si="11"/>
        <v>28</v>
      </c>
      <c r="AN28" s="40"/>
      <c r="AO28" s="85"/>
      <c r="AP28" s="45"/>
      <c r="AQ28" s="45"/>
      <c r="AR28" s="11"/>
      <c r="AS28" s="17"/>
      <c r="AT28" s="11"/>
      <c r="AU28" s="11"/>
      <c r="AV28" s="11"/>
      <c r="AW28" s="11"/>
      <c r="AX28" s="18"/>
      <c r="AY28" s="41"/>
    </row>
    <row r="29" spans="2:62" ht="18.75" x14ac:dyDescent="0.3">
      <c r="B29" s="40"/>
      <c r="C29" s="36" t="s">
        <v>68</v>
      </c>
      <c r="D29" s="7" cm="1">
        <f t="array" aca="1" ref="D29" ca="1">VLOOKUP($F$7, INDIRECT($C29), COLUMN(E:E),0)</f>
        <v>0</v>
      </c>
      <c r="E29" s="7" cm="1">
        <f t="array" aca="1" ref="E29" ca="1">VLOOKUP($F$7, INDIRECT($C29), COLUMN(F:F),0)</f>
        <v>0</v>
      </c>
      <c r="F29" s="7" cm="1">
        <f t="array" aca="1" ref="F29" ca="1">VLOOKUP($F$7, INDIRECT($C29), COLUMN(G:G),0)</f>
        <v>0</v>
      </c>
      <c r="G29" s="7" cm="1">
        <f t="array" aca="1" ref="G29" ca="1">VLOOKUP($F$7, INDIRECT($C29), COLUMN(H:H),0)</f>
        <v>0</v>
      </c>
      <c r="H29" s="7" cm="1">
        <f t="array" aca="1" ref="H29" ca="1">VLOOKUP($F$7, INDIRECT($C29), COLUMN(I:I),0)</f>
        <v>0</v>
      </c>
      <c r="I29" s="7" cm="1">
        <f t="array" aca="1" ref="I29" ca="1">VLOOKUP($F$7, INDIRECT($C29), COLUMN(J:J),0)</f>
        <v>0</v>
      </c>
      <c r="J29" s="7" cm="1">
        <f t="array" aca="1" ref="J29" ca="1">VLOOKUP($F$7, INDIRECT($C29), COLUMN(K:K),0)</f>
        <v>0</v>
      </c>
      <c r="K29" s="7" cm="1">
        <f t="array" aca="1" ref="K29" ca="1">VLOOKUP($F$7, INDIRECT($C29), COLUMN(L:L),0)</f>
        <v>0</v>
      </c>
      <c r="L29" s="7" cm="1">
        <f t="array" aca="1" ref="L29" ca="1">VLOOKUP($F$7, INDIRECT($C29), COLUMN(M:M),0)</f>
        <v>0</v>
      </c>
      <c r="M29" s="7" cm="1">
        <f t="array" aca="1" ref="M29" ca="1">VLOOKUP($F$7, INDIRECT($C29), COLUMN(N:N),0)</f>
        <v>0</v>
      </c>
      <c r="N29" s="7" cm="1">
        <f t="array" aca="1" ref="N29" ca="1">VLOOKUP($F$7, INDIRECT($C29), COLUMN(O:O),0)</f>
        <v>0</v>
      </c>
      <c r="O29" s="7" cm="1">
        <f t="array" aca="1" ref="O29" ca="1">VLOOKUP($F$7, INDIRECT($C29), COLUMN(P:P),0)</f>
        <v>0</v>
      </c>
      <c r="P29" s="7" cm="1">
        <f t="array" aca="1" ref="P29" ca="1">VLOOKUP($F$7, INDIRECT($C29), COLUMN(Q:Q),0)</f>
        <v>0</v>
      </c>
      <c r="Q29" s="7" cm="1">
        <f t="array" aca="1" ref="Q29" ca="1">VLOOKUP($F$7, INDIRECT($C29), COLUMN(R:R),0)</f>
        <v>0</v>
      </c>
      <c r="R29" s="7" cm="1">
        <f t="array" aca="1" ref="R29" ca="1">VLOOKUP($F$7, INDIRECT($C29), COLUMN(S:S),0)</f>
        <v>0</v>
      </c>
      <c r="S29" s="7" cm="1">
        <f t="array" aca="1" ref="S29" ca="1">VLOOKUP($F$7, INDIRECT($C29), COLUMN(T:T),0)</f>
        <v>0</v>
      </c>
      <c r="T29" s="7" cm="1">
        <f t="array" aca="1" ref="T29" ca="1">VLOOKUP($F$7, INDIRECT($C29), COLUMN(U:U),0)</f>
        <v>0</v>
      </c>
      <c r="U29" s="7" cm="1">
        <f t="array" aca="1" ref="U29" ca="1">VLOOKUP($F$7, INDIRECT($C29), COLUMN(V:V),0)</f>
        <v>0</v>
      </c>
      <c r="V29" s="7" cm="1">
        <f t="array" aca="1" ref="V29" ca="1">VLOOKUP($F$7, INDIRECT($C29), COLUMN(W:W),0)</f>
        <v>0</v>
      </c>
      <c r="W29" s="7" cm="1">
        <f t="array" aca="1" ref="W29" ca="1">VLOOKUP($F$7, INDIRECT($C29), COLUMN(X:X),0)</f>
        <v>0</v>
      </c>
      <c r="X29" s="7" cm="1">
        <f t="array" aca="1" ref="X29" ca="1">VLOOKUP($F$7, INDIRECT($C29), COLUMN(Y:Y),0)</f>
        <v>0</v>
      </c>
      <c r="Y29" s="7" cm="1">
        <f t="array" aca="1" ref="Y29" ca="1">VLOOKUP($F$7, INDIRECT($C29), COLUMN(Z:Z),0)</f>
        <v>0</v>
      </c>
      <c r="Z29" s="7" cm="1">
        <f t="array" aca="1" ref="Z29" ca="1">VLOOKUP($F$7, INDIRECT($C29), COLUMN(AA:AA),0)</f>
        <v>0</v>
      </c>
      <c r="AA29" s="7" cm="1">
        <f t="array" aca="1" ref="AA29" ca="1">VLOOKUP($F$7, INDIRECT($C29), COLUMN(AB:AB),0)</f>
        <v>0</v>
      </c>
      <c r="AB29" s="7" cm="1">
        <f t="array" aca="1" ref="AB29" ca="1">VLOOKUP($F$7, INDIRECT($C29), COLUMN(AC:AC),0)</f>
        <v>0</v>
      </c>
      <c r="AC29" s="7" cm="1">
        <f t="array" aca="1" ref="AC29" ca="1">VLOOKUP($F$7, INDIRECT($C29), COLUMN(AD:AD),0)</f>
        <v>0</v>
      </c>
      <c r="AD29" s="7" cm="1">
        <f t="array" aca="1" ref="AD29" ca="1">VLOOKUP($F$7, INDIRECT($C29), COLUMN(AE:AE),0)</f>
        <v>0</v>
      </c>
      <c r="AE29" s="7" cm="1">
        <f t="array" aca="1" ref="AE29" ca="1">VLOOKUP($F$7, INDIRECT($C29), COLUMN(AF:AF),0)</f>
        <v>0</v>
      </c>
      <c r="AF29" s="7" cm="1">
        <f t="array" aca="1" ref="AF29" ca="1">VLOOKUP($F$7, INDIRECT($C29), COLUMN(AG:AG),0)</f>
        <v>0</v>
      </c>
      <c r="AG29" s="7" cm="1">
        <f t="array" aca="1" ref="AG29" ca="1">VLOOKUP($F$7, INDIRECT($C29), COLUMN(AH:AH),0)</f>
        <v>0</v>
      </c>
      <c r="AH29" s="7" cm="1">
        <f t="array" aca="1" ref="AH29" ca="1">VLOOKUP($F$7, INDIRECT($C29), COLUMN(AI:AI),0)</f>
        <v>0</v>
      </c>
      <c r="AI29" s="41"/>
      <c r="AK29">
        <f t="shared" ca="1" si="11"/>
        <v>31</v>
      </c>
      <c r="AN29" s="40"/>
      <c r="AO29" s="85"/>
      <c r="AP29" s="45"/>
      <c r="AQ29" s="45"/>
      <c r="AR29" s="11"/>
      <c r="AS29" s="17"/>
      <c r="AT29" s="11"/>
      <c r="AU29" s="11"/>
      <c r="AV29" s="11"/>
      <c r="AW29" s="11"/>
      <c r="AX29" s="18"/>
      <c r="AY29" s="41"/>
    </row>
    <row r="30" spans="2:62" ht="18.75" x14ac:dyDescent="0.3">
      <c r="B30" s="40"/>
      <c r="C30" s="36" t="s">
        <v>69</v>
      </c>
      <c r="D30" s="7" cm="1">
        <f t="array" aca="1" ref="D30" ca="1">VLOOKUP($F$7, INDIRECT($C30), COLUMN(E:E),0)</f>
        <v>0</v>
      </c>
      <c r="E30" s="7" cm="1">
        <f t="array" aca="1" ref="E30" ca="1">VLOOKUP($F$7, INDIRECT($C30), COLUMN(F:F),0)</f>
        <v>0</v>
      </c>
      <c r="F30" s="7" cm="1">
        <f t="array" aca="1" ref="F30" ca="1">VLOOKUP($F$7, INDIRECT($C30), COLUMN(G:G),0)</f>
        <v>0</v>
      </c>
      <c r="G30" s="7" cm="1">
        <f t="array" aca="1" ref="G30" ca="1">VLOOKUP($F$7, INDIRECT($C30), COLUMN(H:H),0)</f>
        <v>0</v>
      </c>
      <c r="H30" s="7" cm="1">
        <f t="array" aca="1" ref="H30" ca="1">VLOOKUP($F$7, INDIRECT($C30), COLUMN(I:I),0)</f>
        <v>0</v>
      </c>
      <c r="I30" s="7" cm="1">
        <f t="array" aca="1" ref="I30" ca="1">VLOOKUP($F$7, INDIRECT($C30), COLUMN(J:J),0)</f>
        <v>0</v>
      </c>
      <c r="J30" s="7" cm="1">
        <f t="array" aca="1" ref="J30" ca="1">VLOOKUP($F$7, INDIRECT($C30), COLUMN(K:K),0)</f>
        <v>0</v>
      </c>
      <c r="K30" s="7" cm="1">
        <f t="array" aca="1" ref="K30" ca="1">VLOOKUP($F$7, INDIRECT($C30), COLUMN(L:L),0)</f>
        <v>0</v>
      </c>
      <c r="L30" s="7" cm="1">
        <f t="array" aca="1" ref="L30" ca="1">VLOOKUP($F$7, INDIRECT($C30), COLUMN(M:M),0)</f>
        <v>0</v>
      </c>
      <c r="M30" s="7" cm="1">
        <f t="array" aca="1" ref="M30" ca="1">VLOOKUP($F$7, INDIRECT($C30), COLUMN(N:N),0)</f>
        <v>0</v>
      </c>
      <c r="N30" s="7" cm="1">
        <f t="array" aca="1" ref="N30" ca="1">VLOOKUP($F$7, INDIRECT($C30), COLUMN(O:O),0)</f>
        <v>0</v>
      </c>
      <c r="O30" s="7" cm="1">
        <f t="array" aca="1" ref="O30" ca="1">VLOOKUP($F$7, INDIRECT($C30), COLUMN(P:P),0)</f>
        <v>0</v>
      </c>
      <c r="P30" s="7" cm="1">
        <f t="array" aca="1" ref="P30" ca="1">VLOOKUP($F$7, INDIRECT($C30), COLUMN(Q:Q),0)</f>
        <v>0</v>
      </c>
      <c r="Q30" s="7" cm="1">
        <f t="array" aca="1" ref="Q30" ca="1">VLOOKUP($F$7, INDIRECT($C30), COLUMN(R:R),0)</f>
        <v>0</v>
      </c>
      <c r="R30" s="7" cm="1">
        <f t="array" aca="1" ref="R30" ca="1">VLOOKUP($F$7, INDIRECT($C30), COLUMN(S:S),0)</f>
        <v>0</v>
      </c>
      <c r="S30" s="7" cm="1">
        <f t="array" aca="1" ref="S30" ca="1">VLOOKUP($F$7, INDIRECT($C30), COLUMN(T:T),0)</f>
        <v>0</v>
      </c>
      <c r="T30" s="7" cm="1">
        <f t="array" aca="1" ref="T30" ca="1">VLOOKUP($F$7, INDIRECT($C30), COLUMN(U:U),0)</f>
        <v>0</v>
      </c>
      <c r="U30" s="7" cm="1">
        <f t="array" aca="1" ref="U30" ca="1">VLOOKUP($F$7, INDIRECT($C30), COLUMN(V:V),0)</f>
        <v>0</v>
      </c>
      <c r="V30" s="7" cm="1">
        <f t="array" aca="1" ref="V30" ca="1">VLOOKUP($F$7, INDIRECT($C30), COLUMN(W:W),0)</f>
        <v>0</v>
      </c>
      <c r="W30" s="7" cm="1">
        <f t="array" aca="1" ref="W30" ca="1">VLOOKUP($F$7, INDIRECT($C30), COLUMN(X:X),0)</f>
        <v>0</v>
      </c>
      <c r="X30" s="7" cm="1">
        <f t="array" aca="1" ref="X30" ca="1">VLOOKUP($F$7, INDIRECT($C30), COLUMN(Y:Y),0)</f>
        <v>0</v>
      </c>
      <c r="Y30" s="7" cm="1">
        <f t="array" aca="1" ref="Y30" ca="1">VLOOKUP($F$7, INDIRECT($C30), COLUMN(Z:Z),0)</f>
        <v>0</v>
      </c>
      <c r="Z30" s="7" cm="1">
        <f t="array" aca="1" ref="Z30" ca="1">VLOOKUP($F$7, INDIRECT($C30), COLUMN(AA:AA),0)</f>
        <v>0</v>
      </c>
      <c r="AA30" s="7" cm="1">
        <f t="array" aca="1" ref="AA30" ca="1">VLOOKUP($F$7, INDIRECT($C30), COLUMN(AB:AB),0)</f>
        <v>0</v>
      </c>
      <c r="AB30" s="7" cm="1">
        <f t="array" aca="1" ref="AB30" ca="1">VLOOKUP($F$7, INDIRECT($C30), COLUMN(AC:AC),0)</f>
        <v>0</v>
      </c>
      <c r="AC30" s="7" cm="1">
        <f t="array" aca="1" ref="AC30" ca="1">VLOOKUP($F$7, INDIRECT($C30), COLUMN(AD:AD),0)</f>
        <v>0</v>
      </c>
      <c r="AD30" s="7" cm="1">
        <f t="array" aca="1" ref="AD30" ca="1">VLOOKUP($F$7, INDIRECT($C30), COLUMN(AE:AE),0)</f>
        <v>0</v>
      </c>
      <c r="AE30" s="7" cm="1">
        <f t="array" aca="1" ref="AE30" ca="1">VLOOKUP($F$7, INDIRECT($C30), COLUMN(AF:AF),0)</f>
        <v>0</v>
      </c>
      <c r="AF30" s="7" cm="1">
        <f t="array" aca="1" ref="AF30" ca="1">VLOOKUP($F$7, INDIRECT($C30), COLUMN(AG:AG),0)</f>
        <v>0</v>
      </c>
      <c r="AG30" s="7" cm="1">
        <f t="array" aca="1" ref="AG30" ca="1">VLOOKUP($F$7, INDIRECT($C30), COLUMN(AH:AH),0)</f>
        <v>0</v>
      </c>
      <c r="AH30" s="7"/>
      <c r="AI30" s="41"/>
      <c r="AK30">
        <f t="shared" si="11"/>
        <v>0</v>
      </c>
      <c r="AN30" s="40"/>
      <c r="AO30" s="85"/>
      <c r="AP30" s="45"/>
      <c r="AQ30" s="45"/>
      <c r="AR30" s="11"/>
      <c r="AS30" s="17"/>
      <c r="AT30" s="11"/>
      <c r="AU30" s="11"/>
      <c r="AV30" s="11"/>
      <c r="AW30" s="11"/>
      <c r="AX30" s="18"/>
      <c r="AY30" s="41"/>
    </row>
    <row r="31" spans="2:62" ht="18.75" x14ac:dyDescent="0.3">
      <c r="B31" s="40"/>
      <c r="C31" s="36" t="s">
        <v>70</v>
      </c>
      <c r="D31" s="7" cm="1">
        <f t="array" aca="1" ref="D31" ca="1">VLOOKUP($F$7, INDIRECT($C31), COLUMN(E:E),0)</f>
        <v>0</v>
      </c>
      <c r="E31" s="7" cm="1">
        <f t="array" aca="1" ref="E31" ca="1">VLOOKUP($F$7, INDIRECT($C31), COLUMN(F:F),0)</f>
        <v>0</v>
      </c>
      <c r="F31" s="7" cm="1">
        <f t="array" aca="1" ref="F31" ca="1">VLOOKUP($F$7, INDIRECT($C31), COLUMN(G:G),0)</f>
        <v>0</v>
      </c>
      <c r="G31" s="7" cm="1">
        <f t="array" aca="1" ref="G31" ca="1">VLOOKUP($F$7, INDIRECT($C31), COLUMN(H:H),0)</f>
        <v>0</v>
      </c>
      <c r="H31" s="7" cm="1">
        <f t="array" aca="1" ref="H31" ca="1">VLOOKUP($F$7, INDIRECT($C31), COLUMN(I:I),0)</f>
        <v>0</v>
      </c>
      <c r="I31" s="7" cm="1">
        <f t="array" aca="1" ref="I31" ca="1">VLOOKUP($F$7, INDIRECT($C31), COLUMN(J:J),0)</f>
        <v>0</v>
      </c>
      <c r="J31" s="7" cm="1">
        <f t="array" aca="1" ref="J31" ca="1">VLOOKUP($F$7, INDIRECT($C31), COLUMN(K:K),0)</f>
        <v>0</v>
      </c>
      <c r="K31" s="7" cm="1">
        <f t="array" aca="1" ref="K31" ca="1">VLOOKUP($F$7, INDIRECT($C31), COLUMN(L:L),0)</f>
        <v>0</v>
      </c>
      <c r="L31" s="7" cm="1">
        <f t="array" aca="1" ref="L31" ca="1">VLOOKUP($F$7, INDIRECT($C31), COLUMN(M:M),0)</f>
        <v>0</v>
      </c>
      <c r="M31" s="7" cm="1">
        <f t="array" aca="1" ref="M31" ca="1">VLOOKUP($F$7, INDIRECT($C31), COLUMN(N:N),0)</f>
        <v>0</v>
      </c>
      <c r="N31" s="7" cm="1">
        <f t="array" aca="1" ref="N31" ca="1">VLOOKUP($F$7, INDIRECT($C31), COLUMN(O:O),0)</f>
        <v>0</v>
      </c>
      <c r="O31" s="7" cm="1">
        <f t="array" aca="1" ref="O31" ca="1">VLOOKUP($F$7, INDIRECT($C31), COLUMN(P:P),0)</f>
        <v>0</v>
      </c>
      <c r="P31" s="7" cm="1">
        <f t="array" aca="1" ref="P31" ca="1">VLOOKUP($F$7, INDIRECT($C31), COLUMN(Q:Q),0)</f>
        <v>0</v>
      </c>
      <c r="Q31" s="7" cm="1">
        <f t="array" aca="1" ref="Q31" ca="1">VLOOKUP($F$7, INDIRECT($C31), COLUMN(R:R),0)</f>
        <v>0</v>
      </c>
      <c r="R31" s="7" cm="1">
        <f t="array" aca="1" ref="R31" ca="1">VLOOKUP($F$7, INDIRECT($C31), COLUMN(S:S),0)</f>
        <v>0</v>
      </c>
      <c r="S31" s="7" cm="1">
        <f t="array" aca="1" ref="S31" ca="1">VLOOKUP($F$7, INDIRECT($C31), COLUMN(T:T),0)</f>
        <v>0</v>
      </c>
      <c r="T31" s="7" cm="1">
        <f t="array" aca="1" ref="T31" ca="1">VLOOKUP($F$7, INDIRECT($C31), COLUMN(U:U),0)</f>
        <v>0</v>
      </c>
      <c r="U31" s="7" cm="1">
        <f t="array" aca="1" ref="U31" ca="1">VLOOKUP($F$7, INDIRECT($C31), COLUMN(V:V),0)</f>
        <v>0</v>
      </c>
      <c r="V31" s="7" cm="1">
        <f t="array" aca="1" ref="V31" ca="1">VLOOKUP($F$7, INDIRECT($C31), COLUMN(W:W),0)</f>
        <v>0</v>
      </c>
      <c r="W31" s="7" cm="1">
        <f t="array" aca="1" ref="W31" ca="1">VLOOKUP($F$7, INDIRECT($C31), COLUMN(X:X),0)</f>
        <v>0</v>
      </c>
      <c r="X31" s="7" cm="1">
        <f t="array" aca="1" ref="X31" ca="1">VLOOKUP($F$7, INDIRECT($C31), COLUMN(Y:Y),0)</f>
        <v>0</v>
      </c>
      <c r="Y31" s="7" cm="1">
        <f t="array" aca="1" ref="Y31" ca="1">VLOOKUP($F$7, INDIRECT($C31), COLUMN(Z:Z),0)</f>
        <v>0</v>
      </c>
      <c r="Z31" s="7" cm="1">
        <f t="array" aca="1" ref="Z31" ca="1">VLOOKUP($F$7, INDIRECT($C31), COLUMN(AA:AA),0)</f>
        <v>0</v>
      </c>
      <c r="AA31" s="7" cm="1">
        <f t="array" aca="1" ref="AA31" ca="1">VLOOKUP($F$7, INDIRECT($C31), COLUMN(AB:AB),0)</f>
        <v>0</v>
      </c>
      <c r="AB31" s="7" cm="1">
        <f t="array" aca="1" ref="AB31" ca="1">VLOOKUP($F$7, INDIRECT($C31), COLUMN(AC:AC),0)</f>
        <v>0</v>
      </c>
      <c r="AC31" s="7" cm="1">
        <f t="array" aca="1" ref="AC31" ca="1">VLOOKUP($F$7, INDIRECT($C31), COLUMN(AD:AD),0)</f>
        <v>0</v>
      </c>
      <c r="AD31" s="7" cm="1">
        <f t="array" aca="1" ref="AD31" ca="1">VLOOKUP($F$7, INDIRECT($C31), COLUMN(AE:AE),0)</f>
        <v>0</v>
      </c>
      <c r="AE31" s="7" cm="1">
        <f t="array" aca="1" ref="AE31" ca="1">VLOOKUP($F$7, INDIRECT($C31), COLUMN(AF:AF),0)</f>
        <v>0</v>
      </c>
      <c r="AF31" s="7" cm="1">
        <f t="array" aca="1" ref="AF31" ca="1">VLOOKUP($F$7, INDIRECT($C31), COLUMN(AG:AG),0)</f>
        <v>0</v>
      </c>
      <c r="AG31" s="7" cm="1">
        <f t="array" aca="1" ref="AG31" ca="1">VLOOKUP($F$7, INDIRECT($C31), COLUMN(AH:AH),0)</f>
        <v>0</v>
      </c>
      <c r="AH31" s="7" cm="1">
        <f t="array" aca="1" ref="AH31" ca="1">VLOOKUP($F$7, INDIRECT($C31), COLUMN(AI:AI),0)</f>
        <v>0</v>
      </c>
      <c r="AI31" s="41"/>
      <c r="AK31">
        <f t="shared" si="11"/>
        <v>0</v>
      </c>
      <c r="AN31" s="40"/>
      <c r="AO31" s="85"/>
      <c r="AP31" s="45"/>
      <c r="AQ31" s="45"/>
      <c r="AR31" s="11"/>
      <c r="AS31" s="17"/>
      <c r="AT31" s="11"/>
      <c r="AU31" s="11"/>
      <c r="AV31" s="11"/>
      <c r="AW31" s="11"/>
      <c r="AX31" s="18"/>
      <c r="AY31" s="41"/>
    </row>
    <row r="32" spans="2:62" ht="18.75" x14ac:dyDescent="0.3">
      <c r="B32" s="40"/>
      <c r="C32" s="36" t="s">
        <v>71</v>
      </c>
      <c r="D32" s="7" cm="1">
        <f t="array" aca="1" ref="D32" ca="1">VLOOKUP($F$7, INDIRECT($C32), COLUMN(E:E),0)</f>
        <v>0</v>
      </c>
      <c r="E32" s="7" cm="1">
        <f t="array" aca="1" ref="E32" ca="1">VLOOKUP($F$7, INDIRECT($C32), COLUMN(F:F),0)</f>
        <v>0</v>
      </c>
      <c r="F32" s="7" cm="1">
        <f t="array" aca="1" ref="F32" ca="1">VLOOKUP($F$7, INDIRECT($C32), COLUMN(G:G),0)</f>
        <v>0</v>
      </c>
      <c r="G32" s="7" cm="1">
        <f t="array" aca="1" ref="G32" ca="1">VLOOKUP($F$7, INDIRECT($C32), COLUMN(H:H),0)</f>
        <v>0</v>
      </c>
      <c r="H32" s="7" cm="1">
        <f t="array" aca="1" ref="H32" ca="1">VLOOKUP($F$7, INDIRECT($C32), COLUMN(I:I),0)</f>
        <v>0</v>
      </c>
      <c r="I32" s="7" cm="1">
        <f t="array" aca="1" ref="I32" ca="1">VLOOKUP($F$7, INDIRECT($C32), COLUMN(J:J),0)</f>
        <v>0</v>
      </c>
      <c r="J32" s="7" cm="1">
        <f t="array" aca="1" ref="J32" ca="1">VLOOKUP($F$7, INDIRECT($C32), COLUMN(K:K),0)</f>
        <v>0</v>
      </c>
      <c r="K32" s="7" cm="1">
        <f t="array" aca="1" ref="K32" ca="1">VLOOKUP($F$7, INDIRECT($C32), COLUMN(L:L),0)</f>
        <v>0</v>
      </c>
      <c r="L32" s="7" cm="1">
        <f t="array" aca="1" ref="L32" ca="1">VLOOKUP($F$7, INDIRECT($C32), COLUMN(M:M),0)</f>
        <v>0</v>
      </c>
      <c r="M32" s="7" cm="1">
        <f t="array" aca="1" ref="M32" ca="1">VLOOKUP($F$7, INDIRECT($C32), COLUMN(N:N),0)</f>
        <v>0</v>
      </c>
      <c r="N32" s="7" cm="1">
        <f t="array" aca="1" ref="N32" ca="1">VLOOKUP($F$7, INDIRECT($C32), COLUMN(O:O),0)</f>
        <v>0</v>
      </c>
      <c r="O32" s="7" cm="1">
        <f t="array" aca="1" ref="O32" ca="1">VLOOKUP($F$7, INDIRECT($C32), COLUMN(P:P),0)</f>
        <v>0</v>
      </c>
      <c r="P32" s="7" cm="1">
        <f t="array" aca="1" ref="P32" ca="1">VLOOKUP($F$7, INDIRECT($C32), COLUMN(Q:Q),0)</f>
        <v>0</v>
      </c>
      <c r="Q32" s="7" cm="1">
        <f t="array" aca="1" ref="Q32" ca="1">VLOOKUP($F$7, INDIRECT($C32), COLUMN(R:R),0)</f>
        <v>0</v>
      </c>
      <c r="R32" s="7" cm="1">
        <f t="array" aca="1" ref="R32" ca="1">VLOOKUP($F$7, INDIRECT($C32), COLUMN(S:S),0)</f>
        <v>0</v>
      </c>
      <c r="S32" s="7" cm="1">
        <f t="array" aca="1" ref="S32" ca="1">VLOOKUP($F$7, INDIRECT($C32), COLUMN(T:T),0)</f>
        <v>0</v>
      </c>
      <c r="T32" s="7" cm="1">
        <f t="array" aca="1" ref="T32" ca="1">VLOOKUP($F$7, INDIRECT($C32), COLUMN(U:U),0)</f>
        <v>0</v>
      </c>
      <c r="U32" s="7" cm="1">
        <f t="array" aca="1" ref="U32" ca="1">VLOOKUP($F$7, INDIRECT($C32), COLUMN(V:V),0)</f>
        <v>0</v>
      </c>
      <c r="V32" s="7" cm="1">
        <f t="array" aca="1" ref="V32" ca="1">VLOOKUP($F$7, INDIRECT($C32), COLUMN(W:W),0)</f>
        <v>0</v>
      </c>
      <c r="W32" s="7" cm="1">
        <f t="array" aca="1" ref="W32" ca="1">VLOOKUP($F$7, INDIRECT($C32), COLUMN(X:X),0)</f>
        <v>0</v>
      </c>
      <c r="X32" s="7" cm="1">
        <f t="array" aca="1" ref="X32" ca="1">VLOOKUP($F$7, INDIRECT($C32), COLUMN(Y:Y),0)</f>
        <v>0</v>
      </c>
      <c r="Y32" s="7" cm="1">
        <f t="array" aca="1" ref="Y32" ca="1">VLOOKUP($F$7, INDIRECT($C32), COLUMN(Z:Z),0)</f>
        <v>0</v>
      </c>
      <c r="Z32" s="7" cm="1">
        <f t="array" aca="1" ref="Z32" ca="1">VLOOKUP($F$7, INDIRECT($C32), COLUMN(AA:AA),0)</f>
        <v>0</v>
      </c>
      <c r="AA32" s="7" cm="1">
        <f t="array" aca="1" ref="AA32" ca="1">VLOOKUP($F$7, INDIRECT($C32), COLUMN(AB:AB),0)</f>
        <v>0</v>
      </c>
      <c r="AB32" s="7" cm="1">
        <f t="array" aca="1" ref="AB32" ca="1">VLOOKUP($F$7, INDIRECT($C32), COLUMN(AC:AC),0)</f>
        <v>0</v>
      </c>
      <c r="AC32" s="7" cm="1">
        <f t="array" aca="1" ref="AC32" ca="1">VLOOKUP($F$7, INDIRECT($C32), COLUMN(AD:AD),0)</f>
        <v>0</v>
      </c>
      <c r="AD32" s="7" cm="1">
        <f t="array" aca="1" ref="AD32" ca="1">VLOOKUP($F$7, INDIRECT($C32), COLUMN(AE:AE),0)</f>
        <v>0</v>
      </c>
      <c r="AE32" s="7" cm="1">
        <f t="array" aca="1" ref="AE32" ca="1">VLOOKUP($F$7, INDIRECT($C32), COLUMN(AF:AF),0)</f>
        <v>0</v>
      </c>
      <c r="AF32" s="7" cm="1">
        <f t="array" aca="1" ref="AF32" ca="1">VLOOKUP($F$7, INDIRECT($C32), COLUMN(AG:AG),0)</f>
        <v>0</v>
      </c>
      <c r="AG32" s="7" cm="1">
        <f t="array" aca="1" ref="AG32" ca="1">VLOOKUP($F$7, INDIRECT($C32), COLUMN(AH:AH),0)</f>
        <v>0</v>
      </c>
      <c r="AH32" s="7"/>
      <c r="AI32" s="41"/>
      <c r="AK32">
        <f t="shared" si="11"/>
        <v>0</v>
      </c>
      <c r="AN32" s="40"/>
      <c r="AO32" s="85"/>
      <c r="AP32" s="45"/>
      <c r="AQ32" s="45"/>
      <c r="AR32" s="11"/>
      <c r="AS32" s="17"/>
      <c r="AT32" s="11"/>
      <c r="AU32" s="11"/>
      <c r="AV32" s="11"/>
      <c r="AW32" s="11"/>
      <c r="AX32" s="18"/>
      <c r="AY32" s="41"/>
    </row>
    <row r="33" spans="2:51" ht="18.75" x14ac:dyDescent="0.3">
      <c r="B33" s="40"/>
      <c r="C33" s="36" t="s">
        <v>72</v>
      </c>
      <c r="D33" s="7" cm="1">
        <f t="array" aca="1" ref="D33" ca="1">VLOOKUP($F$7, INDIRECT($C33), COLUMN(E:E),0)</f>
        <v>0</v>
      </c>
      <c r="E33" s="7" cm="1">
        <f t="array" aca="1" ref="E33" ca="1">VLOOKUP($F$7, INDIRECT($C33), COLUMN(F:F),0)</f>
        <v>0</v>
      </c>
      <c r="F33" s="7" cm="1">
        <f t="array" aca="1" ref="F33" ca="1">VLOOKUP($F$7, INDIRECT($C33), COLUMN(G:G),0)</f>
        <v>0</v>
      </c>
      <c r="G33" s="7" cm="1">
        <f t="array" aca="1" ref="G33" ca="1">VLOOKUP($F$7, INDIRECT($C33), COLUMN(H:H),0)</f>
        <v>0</v>
      </c>
      <c r="H33" s="7" cm="1">
        <f t="array" aca="1" ref="H33" ca="1">VLOOKUP($F$7, INDIRECT($C33), COLUMN(I:I),0)</f>
        <v>0</v>
      </c>
      <c r="I33" s="7" cm="1">
        <f t="array" aca="1" ref="I33" ca="1">VLOOKUP($F$7, INDIRECT($C33), COLUMN(J:J),0)</f>
        <v>0</v>
      </c>
      <c r="J33" s="7" cm="1">
        <f t="array" aca="1" ref="J33" ca="1">VLOOKUP($F$7, INDIRECT($C33), COLUMN(K:K),0)</f>
        <v>0</v>
      </c>
      <c r="K33" s="7" cm="1">
        <f t="array" aca="1" ref="K33" ca="1">VLOOKUP($F$7, INDIRECT($C33), COLUMN(L:L),0)</f>
        <v>0</v>
      </c>
      <c r="L33" s="7" cm="1">
        <f t="array" aca="1" ref="L33" ca="1">VLOOKUP($F$7, INDIRECT($C33), COLUMN(M:M),0)</f>
        <v>0</v>
      </c>
      <c r="M33" s="7" cm="1">
        <f t="array" aca="1" ref="M33" ca="1">VLOOKUP($F$7, INDIRECT($C33), COLUMN(N:N),0)</f>
        <v>0</v>
      </c>
      <c r="N33" s="7" cm="1">
        <f t="array" aca="1" ref="N33" ca="1">VLOOKUP($F$7, INDIRECT($C33), COLUMN(O:O),0)</f>
        <v>0</v>
      </c>
      <c r="O33" s="7" cm="1">
        <f t="array" aca="1" ref="O33" ca="1">VLOOKUP($F$7, INDIRECT($C33), COLUMN(P:P),0)</f>
        <v>0</v>
      </c>
      <c r="P33" s="7" cm="1">
        <f t="array" aca="1" ref="P33" ca="1">VLOOKUP($F$7, INDIRECT($C33), COLUMN(Q:Q),0)</f>
        <v>0</v>
      </c>
      <c r="Q33" s="7" cm="1">
        <f t="array" aca="1" ref="Q33" ca="1">VLOOKUP($F$7, INDIRECT($C33), COLUMN(R:R),0)</f>
        <v>0</v>
      </c>
      <c r="R33" s="7" cm="1">
        <f t="array" aca="1" ref="R33" ca="1">VLOOKUP($F$7, INDIRECT($C33), COLUMN(S:S),0)</f>
        <v>0</v>
      </c>
      <c r="S33" s="7" cm="1">
        <f t="array" aca="1" ref="S33" ca="1">VLOOKUP($F$7, INDIRECT($C33), COLUMN(T:T),0)</f>
        <v>0</v>
      </c>
      <c r="T33" s="7" cm="1">
        <f t="array" aca="1" ref="T33" ca="1">VLOOKUP($F$7, INDIRECT($C33), COLUMN(U:U),0)</f>
        <v>0</v>
      </c>
      <c r="U33" s="7" cm="1">
        <f t="array" aca="1" ref="U33" ca="1">VLOOKUP($F$7, INDIRECT($C33), COLUMN(V:V),0)</f>
        <v>0</v>
      </c>
      <c r="V33" s="7" cm="1">
        <f t="array" aca="1" ref="V33" ca="1">VLOOKUP($F$7, INDIRECT($C33), COLUMN(W:W),0)</f>
        <v>0</v>
      </c>
      <c r="W33" s="7" cm="1">
        <f t="array" aca="1" ref="W33" ca="1">VLOOKUP($F$7, INDIRECT($C33), COLUMN(X:X),0)</f>
        <v>0</v>
      </c>
      <c r="X33" s="7" cm="1">
        <f t="array" aca="1" ref="X33" ca="1">VLOOKUP($F$7, INDIRECT($C33), COLUMN(Y:Y),0)</f>
        <v>0</v>
      </c>
      <c r="Y33" s="7" cm="1">
        <f t="array" aca="1" ref="Y33" ca="1">VLOOKUP($F$7, INDIRECT($C33), COLUMN(Z:Z),0)</f>
        <v>0</v>
      </c>
      <c r="Z33" s="7" cm="1">
        <f t="array" aca="1" ref="Z33" ca="1">VLOOKUP($F$7, INDIRECT($C33), COLUMN(AA:AA),0)</f>
        <v>0</v>
      </c>
      <c r="AA33" s="7" cm="1">
        <f t="array" aca="1" ref="AA33" ca="1">VLOOKUP($F$7, INDIRECT($C33), COLUMN(AB:AB),0)</f>
        <v>0</v>
      </c>
      <c r="AB33" s="7" cm="1">
        <f t="array" aca="1" ref="AB33" ca="1">VLOOKUP($F$7, INDIRECT($C33), COLUMN(AC:AC),0)</f>
        <v>0</v>
      </c>
      <c r="AC33" s="7" cm="1">
        <f t="array" aca="1" ref="AC33" ca="1">VLOOKUP($F$7, INDIRECT($C33), COLUMN(AD:AD),0)</f>
        <v>0</v>
      </c>
      <c r="AD33" s="7" cm="1">
        <f t="array" aca="1" ref="AD33" ca="1">VLOOKUP($F$7, INDIRECT($C33), COLUMN(AE:AE),0)</f>
        <v>0</v>
      </c>
      <c r="AE33" s="7" cm="1">
        <f t="array" aca="1" ref="AE33" ca="1">VLOOKUP($F$7, INDIRECT($C33), COLUMN(AF:AF),0)</f>
        <v>0</v>
      </c>
      <c r="AF33" s="7" cm="1">
        <f t="array" aca="1" ref="AF33" ca="1">VLOOKUP($F$7, INDIRECT($C33), COLUMN(AG:AG),0)</f>
        <v>0</v>
      </c>
      <c r="AG33" s="7">
        <v>0</v>
      </c>
      <c r="AH33" s="7">
        <v>0</v>
      </c>
      <c r="AI33" s="41"/>
      <c r="AN33" s="40"/>
      <c r="AO33" s="85"/>
      <c r="AP33" s="45"/>
      <c r="AQ33" s="45"/>
      <c r="AR33" s="11"/>
      <c r="AS33" s="17"/>
      <c r="AT33" s="11"/>
      <c r="AU33" s="11"/>
      <c r="AV33" s="11"/>
      <c r="AW33" s="11"/>
      <c r="AX33" s="18"/>
      <c r="AY33" s="41"/>
    </row>
    <row r="34" spans="2:51" ht="18.75" x14ac:dyDescent="0.3">
      <c r="B34" s="40"/>
      <c r="C34" s="36" t="s">
        <v>73</v>
      </c>
      <c r="D34" s="7" cm="1">
        <f t="array" aca="1" ref="D34" ca="1">VLOOKUP($F$7, INDIRECT($C34), COLUMN(E:E),0)</f>
        <v>0</v>
      </c>
      <c r="E34" s="7" cm="1">
        <f t="array" aca="1" ref="E34" ca="1">VLOOKUP($F$7, INDIRECT($C34), COLUMN(F:F),0)</f>
        <v>0</v>
      </c>
      <c r="F34" s="7" cm="1">
        <f t="array" aca="1" ref="F34" ca="1">VLOOKUP($F$7, INDIRECT($C34), COLUMN(G:G),0)</f>
        <v>0</v>
      </c>
      <c r="G34" s="7" cm="1">
        <f t="array" aca="1" ref="G34" ca="1">VLOOKUP($F$7, INDIRECT($C34), COLUMN(H:H),0)</f>
        <v>0</v>
      </c>
      <c r="H34" s="7" cm="1">
        <f t="array" aca="1" ref="H34" ca="1">VLOOKUP($F$7, INDIRECT($C34), COLUMN(I:I),0)</f>
        <v>0</v>
      </c>
      <c r="I34" s="7" cm="1">
        <f t="array" aca="1" ref="I34" ca="1">VLOOKUP($F$7, INDIRECT($C34), COLUMN(J:J),0)</f>
        <v>0</v>
      </c>
      <c r="J34" s="7" cm="1">
        <f t="array" aca="1" ref="J34" ca="1">VLOOKUP($F$7, INDIRECT($C34), COLUMN(K:K),0)</f>
        <v>0</v>
      </c>
      <c r="K34" s="7" cm="1">
        <f t="array" aca="1" ref="K34" ca="1">VLOOKUP($F$7, INDIRECT($C34), COLUMN(L:L),0)</f>
        <v>0</v>
      </c>
      <c r="L34" s="7" cm="1">
        <f t="array" aca="1" ref="L34" ca="1">VLOOKUP($F$7, INDIRECT($C34), COLUMN(M:M),0)</f>
        <v>0</v>
      </c>
      <c r="M34" s="7" cm="1">
        <f t="array" aca="1" ref="M34" ca="1">VLOOKUP($F$7, INDIRECT($C34), COLUMN(N:N),0)</f>
        <v>0</v>
      </c>
      <c r="N34" s="7" cm="1">
        <f t="array" aca="1" ref="N34" ca="1">VLOOKUP($F$7, INDIRECT($C34), COLUMN(O:O),0)</f>
        <v>0</v>
      </c>
      <c r="O34" s="7" cm="1">
        <f t="array" aca="1" ref="O34" ca="1">VLOOKUP($F$7, INDIRECT($C34), COLUMN(P:P),0)</f>
        <v>0</v>
      </c>
      <c r="P34" s="7" cm="1">
        <f t="array" aca="1" ref="P34" ca="1">VLOOKUP($F$7, INDIRECT($C34), COLUMN(Q:Q),0)</f>
        <v>0</v>
      </c>
      <c r="Q34" s="7" cm="1">
        <f t="array" aca="1" ref="Q34" ca="1">VLOOKUP($F$7, INDIRECT($C34), COLUMN(R:R),0)</f>
        <v>0</v>
      </c>
      <c r="R34" s="7" cm="1">
        <f t="array" aca="1" ref="R34" ca="1">VLOOKUP($F$7, INDIRECT($C34), COLUMN(S:S),0)</f>
        <v>0</v>
      </c>
      <c r="S34" s="7" cm="1">
        <f t="array" aca="1" ref="S34" ca="1">VLOOKUP($F$7, INDIRECT($C34), COLUMN(T:T),0)</f>
        <v>0</v>
      </c>
      <c r="T34" s="7" cm="1">
        <f t="array" aca="1" ref="T34" ca="1">VLOOKUP($F$7, INDIRECT($C34), COLUMN(U:U),0)</f>
        <v>0</v>
      </c>
      <c r="U34" s="7" cm="1">
        <f t="array" aca="1" ref="U34" ca="1">VLOOKUP($F$7, INDIRECT($C34), COLUMN(V:V),0)</f>
        <v>0</v>
      </c>
      <c r="V34" s="7" cm="1">
        <f t="array" aca="1" ref="V34" ca="1">VLOOKUP($F$7, INDIRECT($C34), COLUMN(W:W),0)</f>
        <v>0</v>
      </c>
      <c r="W34" s="7" cm="1">
        <f t="array" aca="1" ref="W34" ca="1">VLOOKUP($F$7, INDIRECT($C34), COLUMN(X:X),0)</f>
        <v>0</v>
      </c>
      <c r="X34" s="7" cm="1">
        <f t="array" aca="1" ref="X34" ca="1">VLOOKUP($F$7, INDIRECT($C34), COLUMN(Y:Y),0)</f>
        <v>0</v>
      </c>
      <c r="Y34" s="7" cm="1">
        <f t="array" aca="1" ref="Y34" ca="1">VLOOKUP($F$7, INDIRECT($C34), COLUMN(Z:Z),0)</f>
        <v>0</v>
      </c>
      <c r="Z34" s="7" cm="1">
        <f t="array" aca="1" ref="Z34" ca="1">VLOOKUP($F$7, INDIRECT($C34), COLUMN(AA:AA),0)</f>
        <v>0</v>
      </c>
      <c r="AA34" s="7" cm="1">
        <f t="array" aca="1" ref="AA34" ca="1">VLOOKUP($F$7, INDIRECT($C34), COLUMN(AB:AB),0)</f>
        <v>0</v>
      </c>
      <c r="AB34" s="7" cm="1">
        <f t="array" aca="1" ref="AB34" ca="1">VLOOKUP($F$7, INDIRECT($C34), COLUMN(AC:AC),0)</f>
        <v>0</v>
      </c>
      <c r="AC34" s="7" cm="1">
        <f t="array" aca="1" ref="AC34" ca="1">VLOOKUP($F$7, INDIRECT($C34), COLUMN(AD:AD),0)</f>
        <v>0</v>
      </c>
      <c r="AD34" s="7" cm="1">
        <f t="array" aca="1" ref="AD34" ca="1">VLOOKUP($F$7, INDIRECT($C34), COLUMN(AE:AE),0)</f>
        <v>0</v>
      </c>
      <c r="AE34" s="7" cm="1">
        <f t="array" aca="1" ref="AE34" ca="1">VLOOKUP($F$7, INDIRECT($C34), COLUMN(AF:AF),0)</f>
        <v>0</v>
      </c>
      <c r="AF34" s="7" cm="1">
        <f t="array" aca="1" ref="AF34" ca="1">VLOOKUP($F$7, INDIRECT($C34), COLUMN(AG:AG),0)</f>
        <v>0</v>
      </c>
      <c r="AG34" s="7" cm="1">
        <f t="array" aca="1" ref="AG34" ca="1">VLOOKUP($F$7, INDIRECT($C34), COLUMN(AH:AH),0)</f>
        <v>0</v>
      </c>
      <c r="AH34" s="7" cm="1">
        <f t="array" aca="1" ref="AH34" ca="1">VLOOKUP($F$7, INDIRECT($C34), COLUMN(AI:AI),0)</f>
        <v>0</v>
      </c>
      <c r="AI34" s="41"/>
      <c r="AN34" s="40"/>
      <c r="AO34" s="85"/>
      <c r="AP34" s="45"/>
      <c r="AQ34" s="45"/>
      <c r="AR34" s="11"/>
      <c r="AS34" s="17"/>
      <c r="AT34" s="11"/>
      <c r="AU34" s="11"/>
      <c r="AV34" s="11"/>
      <c r="AW34" s="11"/>
      <c r="AX34" s="18"/>
      <c r="AY34" s="41"/>
    </row>
    <row r="35" spans="2:51" ht="21.75" thickBot="1" x14ac:dyDescent="0.4">
      <c r="B35" s="40"/>
      <c r="C35" s="36" t="s">
        <v>74</v>
      </c>
      <c r="D35" s="7" cm="1">
        <f t="array" aca="1" ref="D35" ca="1">VLOOKUP($F$7, INDIRECT($C35), COLUMN(E:E),0)</f>
        <v>0</v>
      </c>
      <c r="E35" s="7" cm="1">
        <f t="array" aca="1" ref="E35" ca="1">VLOOKUP($F$7, INDIRECT($C35), COLUMN(F:F),0)</f>
        <v>0</v>
      </c>
      <c r="F35" s="7" cm="1">
        <f t="array" aca="1" ref="F35" ca="1">VLOOKUP($F$7, INDIRECT($C35), COLUMN(G:G),0)</f>
        <v>0</v>
      </c>
      <c r="G35" s="7" cm="1">
        <f t="array" aca="1" ref="G35" ca="1">VLOOKUP($F$7, INDIRECT($C35), COLUMN(H:H),0)</f>
        <v>0</v>
      </c>
      <c r="H35" s="7" cm="1">
        <f t="array" aca="1" ref="H35" ca="1">VLOOKUP($F$7, INDIRECT($C35), COLUMN(I:I),0)</f>
        <v>0</v>
      </c>
      <c r="I35" s="7" cm="1">
        <f t="array" aca="1" ref="I35" ca="1">VLOOKUP($F$7, INDIRECT($C35), COLUMN(J:J),0)</f>
        <v>0</v>
      </c>
      <c r="J35" s="7" cm="1">
        <f t="array" aca="1" ref="J35" ca="1">VLOOKUP($F$7, INDIRECT($C35), COLUMN(K:K),0)</f>
        <v>0</v>
      </c>
      <c r="K35" s="7" cm="1">
        <f t="array" aca="1" ref="K35" ca="1">VLOOKUP($F$7, INDIRECT($C35), COLUMN(L:L),0)</f>
        <v>0</v>
      </c>
      <c r="L35" s="7" cm="1">
        <f t="array" aca="1" ref="L35" ca="1">VLOOKUP($F$7, INDIRECT($C35), COLUMN(M:M),0)</f>
        <v>0</v>
      </c>
      <c r="M35" s="7" cm="1">
        <f t="array" aca="1" ref="M35" ca="1">VLOOKUP($F$7, INDIRECT($C35), COLUMN(N:N),0)</f>
        <v>0</v>
      </c>
      <c r="N35" s="7" cm="1">
        <f t="array" aca="1" ref="N35" ca="1">VLOOKUP($F$7, INDIRECT($C35), COLUMN(O:O),0)</f>
        <v>0</v>
      </c>
      <c r="O35" s="7" cm="1">
        <f t="array" aca="1" ref="O35" ca="1">VLOOKUP($F$7, INDIRECT($C35), COLUMN(P:P),0)</f>
        <v>0</v>
      </c>
      <c r="P35" s="7" cm="1">
        <f t="array" aca="1" ref="P35" ca="1">VLOOKUP($F$7, INDIRECT($C35), COLUMN(Q:Q),0)</f>
        <v>0</v>
      </c>
      <c r="Q35" s="7" cm="1">
        <f t="array" aca="1" ref="Q35" ca="1">VLOOKUP($F$7, INDIRECT($C35), COLUMN(R:R),0)</f>
        <v>0</v>
      </c>
      <c r="R35" s="7" cm="1">
        <f t="array" aca="1" ref="R35" ca="1">VLOOKUP($F$7, INDIRECT($C35), COLUMN(S:S),0)</f>
        <v>0</v>
      </c>
      <c r="S35" s="7" cm="1">
        <f t="array" aca="1" ref="S35" ca="1">VLOOKUP($F$7, INDIRECT($C35), COLUMN(T:T),0)</f>
        <v>0</v>
      </c>
      <c r="T35" s="7" cm="1">
        <f t="array" aca="1" ref="T35" ca="1">VLOOKUP($F$7, INDIRECT($C35), COLUMN(U:U),0)</f>
        <v>0</v>
      </c>
      <c r="U35" s="7" cm="1">
        <f t="array" aca="1" ref="U35" ca="1">VLOOKUP($F$7, INDIRECT($C35), COLUMN(V:V),0)</f>
        <v>0</v>
      </c>
      <c r="V35" s="7" cm="1">
        <f t="array" aca="1" ref="V35" ca="1">VLOOKUP($F$7, INDIRECT($C35), COLUMN(W:W),0)</f>
        <v>0</v>
      </c>
      <c r="W35" s="7" cm="1">
        <f t="array" aca="1" ref="W35" ca="1">VLOOKUP($F$7, INDIRECT($C35), COLUMN(X:X),0)</f>
        <v>0</v>
      </c>
      <c r="X35" s="7" cm="1">
        <f t="array" aca="1" ref="X35" ca="1">VLOOKUP($F$7, INDIRECT($C35), COLUMN(Y:Y),0)</f>
        <v>0</v>
      </c>
      <c r="Y35" s="7" cm="1">
        <f t="array" aca="1" ref="Y35" ca="1">VLOOKUP($F$7, INDIRECT($C35), COLUMN(Z:Z),0)</f>
        <v>0</v>
      </c>
      <c r="Z35" s="7" cm="1">
        <f t="array" aca="1" ref="Z35" ca="1">VLOOKUP($F$7, INDIRECT($C35), COLUMN(AA:AA),0)</f>
        <v>0</v>
      </c>
      <c r="AA35" s="7" cm="1">
        <f t="array" aca="1" ref="AA35" ca="1">VLOOKUP($F$7, INDIRECT($C35), COLUMN(AB:AB),0)</f>
        <v>0</v>
      </c>
      <c r="AB35" s="7" cm="1">
        <f t="array" aca="1" ref="AB35" ca="1">VLOOKUP($F$7, INDIRECT($C35), COLUMN(AC:AC),0)</f>
        <v>0</v>
      </c>
      <c r="AC35" s="7" cm="1">
        <f t="array" aca="1" ref="AC35" ca="1">VLOOKUP($F$7, INDIRECT($C35), COLUMN(AD:AD),0)</f>
        <v>0</v>
      </c>
      <c r="AD35" s="7" cm="1">
        <f t="array" aca="1" ref="AD35" ca="1">VLOOKUP($F$7, INDIRECT($C35), COLUMN(AE:AE),0)</f>
        <v>0</v>
      </c>
      <c r="AE35" s="7" cm="1">
        <f t="array" aca="1" ref="AE35" ca="1">VLOOKUP($F$7, INDIRECT($C35), COLUMN(AF:AF),0)</f>
        <v>0</v>
      </c>
      <c r="AF35" s="7"/>
      <c r="AG35" s="7"/>
      <c r="AH35" s="7"/>
      <c r="AI35" s="41"/>
      <c r="AN35" s="40"/>
      <c r="AO35" s="58" t="s">
        <v>93</v>
      </c>
      <c r="AP35" s="15"/>
      <c r="AQ35" s="15"/>
      <c r="AR35" s="15"/>
      <c r="AS35" s="59"/>
      <c r="AT35" s="60" t="s">
        <v>94</v>
      </c>
      <c r="AU35" s="61" t="s">
        <v>58</v>
      </c>
      <c r="AV35" s="15"/>
      <c r="AW35" s="15"/>
      <c r="AX35" s="62"/>
      <c r="AY35" s="41"/>
    </row>
    <row r="36" spans="2:51" ht="21.75" thickBot="1" x14ac:dyDescent="0.4">
      <c r="B36" s="40"/>
      <c r="C36" s="36" t="s">
        <v>75</v>
      </c>
      <c r="D36" s="7" cm="1">
        <f t="array" aca="1" ref="D36" ca="1">VLOOKUP($F$7, INDIRECT($C36), COLUMN(E:E),0)</f>
        <v>0</v>
      </c>
      <c r="E36" s="7" cm="1">
        <f t="array" aca="1" ref="E36" ca="1">VLOOKUP($F$7, INDIRECT($C36), COLUMN(F:F),0)</f>
        <v>0</v>
      </c>
      <c r="F36" s="7" cm="1">
        <f t="array" aca="1" ref="F36" ca="1">VLOOKUP($F$7, INDIRECT($C36), COLUMN(G:G),0)</f>
        <v>0</v>
      </c>
      <c r="G36" s="7" cm="1">
        <f t="array" aca="1" ref="G36" ca="1">VLOOKUP($F$7, INDIRECT($C36), COLUMN(H:H),0)</f>
        <v>0</v>
      </c>
      <c r="H36" s="7" cm="1">
        <f t="array" aca="1" ref="H36" ca="1">VLOOKUP($F$7, INDIRECT($C36), COLUMN(I:I),0)</f>
        <v>0</v>
      </c>
      <c r="I36" s="7" cm="1">
        <f t="array" aca="1" ref="I36" ca="1">VLOOKUP($F$7, INDIRECT($C36), COLUMN(J:J),0)</f>
        <v>0</v>
      </c>
      <c r="J36" s="7" cm="1">
        <f t="array" aca="1" ref="J36" ca="1">VLOOKUP($F$7, INDIRECT($C36), COLUMN(K:K),0)</f>
        <v>0</v>
      </c>
      <c r="K36" s="7" cm="1">
        <f t="array" aca="1" ref="K36" ca="1">VLOOKUP($F$7, INDIRECT($C36), COLUMN(L:L),0)</f>
        <v>0</v>
      </c>
      <c r="L36" s="7" cm="1">
        <f t="array" aca="1" ref="L36" ca="1">VLOOKUP($F$7, INDIRECT($C36), COLUMN(M:M),0)</f>
        <v>0</v>
      </c>
      <c r="M36" s="7" cm="1">
        <f t="array" aca="1" ref="M36" ca="1">VLOOKUP($F$7, INDIRECT($C36), COLUMN(N:N),0)</f>
        <v>0</v>
      </c>
      <c r="N36" s="7" cm="1">
        <f t="array" aca="1" ref="N36" ca="1">VLOOKUP($F$7, INDIRECT($C36), COLUMN(O:O),0)</f>
        <v>0</v>
      </c>
      <c r="O36" s="7" cm="1">
        <f t="array" aca="1" ref="O36" ca="1">VLOOKUP($F$7, INDIRECT($C36), COLUMN(P:P),0)</f>
        <v>0</v>
      </c>
      <c r="P36" s="7" cm="1">
        <f t="array" aca="1" ref="P36" ca="1">VLOOKUP($F$7, INDIRECT($C36), COLUMN(Q:Q),0)</f>
        <v>0</v>
      </c>
      <c r="Q36" s="7" cm="1">
        <f t="array" aca="1" ref="Q36" ca="1">VLOOKUP($F$7, INDIRECT($C36), COLUMN(R:R),0)</f>
        <v>0</v>
      </c>
      <c r="R36" s="7" cm="1">
        <f t="array" aca="1" ref="R36" ca="1">VLOOKUP($F$7, INDIRECT($C36), COLUMN(S:S),0)</f>
        <v>0</v>
      </c>
      <c r="S36" s="7" cm="1">
        <f t="array" aca="1" ref="S36" ca="1">VLOOKUP($F$7, INDIRECT($C36), COLUMN(T:T),0)</f>
        <v>0</v>
      </c>
      <c r="T36" s="7" cm="1">
        <f t="array" aca="1" ref="T36" ca="1">VLOOKUP($F$7, INDIRECT($C36), COLUMN(U:U),0)</f>
        <v>0</v>
      </c>
      <c r="U36" s="7" cm="1">
        <f t="array" aca="1" ref="U36" ca="1">VLOOKUP($F$7, INDIRECT($C36), COLUMN(V:V),0)</f>
        <v>0</v>
      </c>
      <c r="V36" s="7" cm="1">
        <f t="array" aca="1" ref="V36" ca="1">VLOOKUP($F$7, INDIRECT($C36), COLUMN(W:W),0)</f>
        <v>0</v>
      </c>
      <c r="W36" s="7" cm="1">
        <f t="array" aca="1" ref="W36" ca="1">VLOOKUP($F$7, INDIRECT($C36), COLUMN(X:X),0)</f>
        <v>0</v>
      </c>
      <c r="X36" s="7" cm="1">
        <f t="array" aca="1" ref="X36" ca="1">VLOOKUP($F$7, INDIRECT($C36), COLUMN(Y:Y),0)</f>
        <v>0</v>
      </c>
      <c r="Y36" s="7" cm="1">
        <f t="array" aca="1" ref="Y36" ca="1">VLOOKUP($F$7, INDIRECT($C36), COLUMN(Z:Z),0)</f>
        <v>0</v>
      </c>
      <c r="Z36" s="7" cm="1">
        <f t="array" aca="1" ref="Z36" ca="1">VLOOKUP($F$7, INDIRECT($C36), COLUMN(AA:AA),0)</f>
        <v>0</v>
      </c>
      <c r="AA36" s="7" cm="1">
        <f t="array" aca="1" ref="AA36" ca="1">VLOOKUP($F$7, INDIRECT($C36), COLUMN(AB:AB),0)</f>
        <v>0</v>
      </c>
      <c r="AB36" s="7" cm="1">
        <f t="array" aca="1" ref="AB36" ca="1">VLOOKUP($F$7, INDIRECT($C36), COLUMN(AC:AC),0)</f>
        <v>0</v>
      </c>
      <c r="AC36" s="7" cm="1">
        <f t="array" aca="1" ref="AC36" ca="1">VLOOKUP($F$7, INDIRECT($C36), COLUMN(AD:AD),0)</f>
        <v>0</v>
      </c>
      <c r="AD36" s="7" cm="1">
        <f t="array" aca="1" ref="AD36" ca="1">VLOOKUP($F$7, INDIRECT($C36), COLUMN(AE:AE),0)</f>
        <v>0</v>
      </c>
      <c r="AE36" s="7" cm="1">
        <f t="array" aca="1" ref="AE36" ca="1">VLOOKUP($F$7, INDIRECT($C36), COLUMN(AF:AF),0)</f>
        <v>0</v>
      </c>
      <c r="AF36" s="7" cm="1">
        <f t="array" aca="1" ref="AF36" ca="1">VLOOKUP($F$7, INDIRECT($C36), COLUMN(AG:AG),0)</f>
        <v>0</v>
      </c>
      <c r="AG36" s="7" cm="1">
        <f t="array" aca="1" ref="AG36" ca="1">VLOOKUP($F$7, INDIRECT($C36), COLUMN(AH:AH),0)</f>
        <v>0</v>
      </c>
      <c r="AH36" s="7" cm="1">
        <f t="array" aca="1" ref="AH36" ca="1">VLOOKUP($F$7, INDIRECT($C36), COLUMN(AI:AI),0)</f>
        <v>0</v>
      </c>
      <c r="AI36" s="41"/>
      <c r="AN36" s="40"/>
      <c r="AO36" s="63"/>
      <c r="AP36" s="47"/>
      <c r="AQ36" s="47"/>
      <c r="AR36" s="47"/>
      <c r="AS36" s="63"/>
      <c r="AT36" s="64" t="s">
        <v>95</v>
      </c>
      <c r="AU36" s="65" t="s">
        <v>58</v>
      </c>
      <c r="AV36" s="47"/>
      <c r="AW36" s="47"/>
      <c r="AX36" s="66"/>
      <c r="AY36" s="41"/>
    </row>
    <row r="37" spans="2:51" x14ac:dyDescent="0.25">
      <c r="B37" s="4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41"/>
      <c r="AN37" s="40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41"/>
    </row>
    <row r="38" spans="2:51" ht="15.75" thickBot="1" x14ac:dyDescent="0.3">
      <c r="B38" s="4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41"/>
      <c r="AN38" s="46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8"/>
    </row>
    <row r="39" spans="2:51" x14ac:dyDescent="0.25">
      <c r="B39" s="4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41"/>
    </row>
    <row r="40" spans="2:51" x14ac:dyDescent="0.25">
      <c r="B40" s="4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41"/>
    </row>
    <row r="41" spans="2:51" ht="15.75" thickBot="1" x14ac:dyDescent="0.3">
      <c r="B41" s="46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8"/>
    </row>
  </sheetData>
  <mergeCells count="119">
    <mergeCell ref="AV20:AX20"/>
    <mergeCell ref="N22:O22"/>
    <mergeCell ref="L22:M22"/>
    <mergeCell ref="J22:K22"/>
    <mergeCell ref="H22:I22"/>
    <mergeCell ref="C3:AH3"/>
    <mergeCell ref="AV10:AX10"/>
    <mergeCell ref="AV11:AX11"/>
    <mergeCell ref="AV12:AX12"/>
    <mergeCell ref="AV13:AX13"/>
    <mergeCell ref="AV14:AX14"/>
    <mergeCell ref="AO3:AX3"/>
    <mergeCell ref="N19:O19"/>
    <mergeCell ref="L19:M19"/>
    <mergeCell ref="J19:K19"/>
    <mergeCell ref="H19:I19"/>
    <mergeCell ref="AV18:AX18"/>
    <mergeCell ref="AV19:AX19"/>
    <mergeCell ref="Z10:AC10"/>
    <mergeCell ref="AC20:AE20"/>
    <mergeCell ref="AC21:AE21"/>
    <mergeCell ref="AC22:AE22"/>
    <mergeCell ref="U7:X7"/>
    <mergeCell ref="U8:X8"/>
    <mergeCell ref="U9:X9"/>
    <mergeCell ref="U10:X10"/>
    <mergeCell ref="Z7:AC7"/>
    <mergeCell ref="Z8:AC8"/>
    <mergeCell ref="Z9:AC9"/>
    <mergeCell ref="C13:AA13"/>
    <mergeCell ref="AC14:AE14"/>
    <mergeCell ref="AC15:AE15"/>
    <mergeCell ref="AC16:AE16"/>
    <mergeCell ref="AC18:AE18"/>
    <mergeCell ref="AC19:AE19"/>
    <mergeCell ref="P22:Q22"/>
    <mergeCell ref="R22:S22"/>
    <mergeCell ref="T22:U22"/>
    <mergeCell ref="V22:W22"/>
    <mergeCell ref="X22:Y22"/>
    <mergeCell ref="Z22:AA22"/>
    <mergeCell ref="D22:E22"/>
    <mergeCell ref="F22:G22"/>
    <mergeCell ref="P21:Q21"/>
    <mergeCell ref="R21:S21"/>
    <mergeCell ref="T21:U21"/>
    <mergeCell ref="V21:W21"/>
    <mergeCell ref="X21:Y21"/>
    <mergeCell ref="Z21:AA21"/>
    <mergeCell ref="T20:U20"/>
    <mergeCell ref="V20:W20"/>
    <mergeCell ref="X20:Y20"/>
    <mergeCell ref="Z20:AA20"/>
    <mergeCell ref="D21:E21"/>
    <mergeCell ref="F21:G21"/>
    <mergeCell ref="H21:I21"/>
    <mergeCell ref="J21:K21"/>
    <mergeCell ref="L21:M21"/>
    <mergeCell ref="N21:O21"/>
    <mergeCell ref="T19:U19"/>
    <mergeCell ref="V19:W19"/>
    <mergeCell ref="X19:Y19"/>
    <mergeCell ref="Z19:AA19"/>
    <mergeCell ref="D20:E20"/>
    <mergeCell ref="F20:G20"/>
    <mergeCell ref="H20:I20"/>
    <mergeCell ref="J20:K20"/>
    <mergeCell ref="L20:M20"/>
    <mergeCell ref="N20:O20"/>
    <mergeCell ref="D19:E19"/>
    <mergeCell ref="F19:G19"/>
    <mergeCell ref="V15:W15"/>
    <mergeCell ref="V16:W16"/>
    <mergeCell ref="X15:Y15"/>
    <mergeCell ref="X16:Y16"/>
    <mergeCell ref="Z15:AA15"/>
    <mergeCell ref="Z16:AA16"/>
    <mergeCell ref="P15:Q15"/>
    <mergeCell ref="P16:Q16"/>
    <mergeCell ref="R15:S15"/>
    <mergeCell ref="R16:S16"/>
    <mergeCell ref="T15:U15"/>
    <mergeCell ref="T16:U16"/>
    <mergeCell ref="J15:K15"/>
    <mergeCell ref="J16:K16"/>
    <mergeCell ref="L15:M15"/>
    <mergeCell ref="L16:M16"/>
    <mergeCell ref="N15:O15"/>
    <mergeCell ref="N16:O16"/>
    <mergeCell ref="T14:U14"/>
    <mergeCell ref="V14:W14"/>
    <mergeCell ref="X14:Y14"/>
    <mergeCell ref="Z14:AA14"/>
    <mergeCell ref="D15:E15"/>
    <mergeCell ref="D16:E16"/>
    <mergeCell ref="F15:G15"/>
    <mergeCell ref="F16:G16"/>
    <mergeCell ref="H15:I15"/>
    <mergeCell ref="H16:I16"/>
    <mergeCell ref="H14:I14"/>
    <mergeCell ref="J14:K14"/>
    <mergeCell ref="L14:M14"/>
    <mergeCell ref="N14:O14"/>
    <mergeCell ref="P14:Q14"/>
    <mergeCell ref="R14:S14"/>
    <mergeCell ref="F7:M7"/>
    <mergeCell ref="F8:M8"/>
    <mergeCell ref="F9:M9"/>
    <mergeCell ref="F10:M10"/>
    <mergeCell ref="P19:Q19"/>
    <mergeCell ref="R19:S19"/>
    <mergeCell ref="P20:Q20"/>
    <mergeCell ref="R20:S20"/>
    <mergeCell ref="F11:M11"/>
    <mergeCell ref="D14:E14"/>
    <mergeCell ref="F14:G14"/>
    <mergeCell ref="C7:D7"/>
    <mergeCell ref="C8:D8"/>
    <mergeCell ref="C10:D10"/>
  </mergeCells>
  <conditionalFormatting sqref="D25:AH36">
    <cfRule type="cellIs" dxfId="0" priority="6" operator="equal">
      <formula>0</formula>
    </cfRule>
    <cfRule type="cellIs" dxfId="1" priority="7" operator="equal">
      <formula>0</formula>
    </cfRule>
    <cfRule type="cellIs" dxfId="2" priority="8" operator="equal">
      <formula>0</formula>
    </cfRule>
    <cfRule type="cellIs" dxfId="3" priority="9" operator="equal">
      <formula>0</formula>
    </cfRule>
    <cfRule type="cellIs" dxfId="4" priority="10" operator="equal">
      <formula>0</formula>
    </cfRule>
    <cfRule type="containsText" dxfId="5" priority="5" operator="containsText" text="A">
      <formula>NOT(ISERROR(SEARCH("A",D25)))</formula>
    </cfRule>
    <cfRule type="containsText" dxfId="6" priority="4" operator="containsText" text="P">
      <formula>NOT(ISERROR(SEARCH("P",D25)))</formula>
    </cfRule>
    <cfRule type="containsText" dxfId="7" priority="3" operator="containsText" text="O">
      <formula>NOT(ISERROR(SEARCH("O",D25)))</formula>
    </cfRule>
    <cfRule type="containsText" dxfId="8" priority="2" operator="containsText" text="O">
      <formula>NOT(ISERROR(SEARCH("O",D25)))</formula>
    </cfRule>
    <cfRule type="containsText" dxfId="9" priority="1" operator="containsText" text="H">
      <formula>NOT(ISERROR(SEARCH("H",D25)))</formula>
    </cfRule>
  </conditionalFormatting>
  <pageMargins left="0.7" right="0.7" top="0.75" bottom="0.75" header="0.3" footer="0.3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DE65-BC9E-43CA-A347-B1CB0080B021}">
  <sheetPr codeName="Sheet2"/>
  <dimension ref="A4:PR11"/>
  <sheetViews>
    <sheetView workbookViewId="0">
      <selection activeCell="E7" sqref="E7"/>
    </sheetView>
  </sheetViews>
  <sheetFormatPr defaultColWidth="0" defaultRowHeight="15" x14ac:dyDescent="0.25"/>
  <cols>
    <col min="1" max="1" width="7.28515625" customWidth="1"/>
    <col min="2" max="2" width="18.140625" customWidth="1"/>
    <col min="3" max="3" width="13.5703125" customWidth="1"/>
    <col min="4" max="4" width="7.5703125" customWidth="1"/>
    <col min="5" max="5" width="3.7109375" customWidth="1"/>
    <col min="6" max="6" width="4.28515625" customWidth="1"/>
    <col min="7" max="7" width="5" customWidth="1"/>
    <col min="8" max="8" width="4.28515625" customWidth="1"/>
    <col min="9" max="9" width="5.140625" customWidth="1"/>
    <col min="10" max="10" width="4.28515625" customWidth="1"/>
    <col min="11" max="11" width="3.28515625" customWidth="1"/>
    <col min="12" max="12" width="3.7109375" customWidth="1"/>
    <col min="13" max="13" width="4.28515625" customWidth="1"/>
    <col min="14" max="14" width="5" customWidth="1"/>
    <col min="15" max="15" width="4.28515625" customWidth="1"/>
    <col min="16" max="16" width="5.140625" customWidth="1"/>
    <col min="17" max="17" width="4.28515625" customWidth="1"/>
    <col min="18" max="18" width="3.28515625" customWidth="1"/>
    <col min="19" max="19" width="3.7109375" customWidth="1"/>
    <col min="20" max="20" width="4.28515625" customWidth="1"/>
    <col min="21" max="21" width="5" customWidth="1"/>
    <col min="22" max="22" width="4.28515625" customWidth="1"/>
    <col min="23" max="23" width="5.140625" customWidth="1"/>
    <col min="24" max="24" width="4.28515625" customWidth="1"/>
    <col min="25" max="25" width="3.28515625" customWidth="1"/>
    <col min="26" max="26" width="3.7109375" customWidth="1"/>
    <col min="27" max="27" width="4.28515625" customWidth="1"/>
    <col min="28" max="28" width="5" customWidth="1"/>
    <col min="29" max="29" width="4.28515625" customWidth="1"/>
    <col min="30" max="30" width="5.140625" customWidth="1"/>
    <col min="31" max="31" width="4.28515625" customWidth="1"/>
    <col min="32" max="32" width="3.28515625" customWidth="1"/>
    <col min="33" max="33" width="3.7109375" customWidth="1"/>
    <col min="34" max="34" width="4.28515625" customWidth="1"/>
    <col min="35" max="35" width="3" customWidth="1"/>
    <col min="36" max="36" width="3.85546875" hidden="1"/>
    <col min="37" max="37" width="7.28515625" hidden="1" customWidth="1"/>
    <col min="38" max="38" width="18.140625" hidden="1" customWidth="1"/>
    <col min="39" max="39" width="11.5703125" hidden="1" customWidth="1"/>
    <col min="40" max="40" width="7.5703125" hidden="1" customWidth="1"/>
    <col min="41" max="41" width="4.28515625" hidden="1" customWidth="1"/>
    <col min="42" max="42" width="5" hidden="1" customWidth="1"/>
    <col min="43" max="43" width="4.28515625" hidden="1" customWidth="1"/>
    <col min="44" max="44" width="5.140625" hidden="1" customWidth="1"/>
    <col min="45" max="45" width="4.28515625" hidden="1" customWidth="1"/>
    <col min="46" max="46" width="3.28515625" hidden="1" customWidth="1"/>
    <col min="47" max="47" width="3.7109375" hidden="1" customWidth="1"/>
    <col min="48" max="48" width="4.28515625" hidden="1" customWidth="1"/>
    <col min="49" max="49" width="5" hidden="1" customWidth="1"/>
    <col min="50" max="50" width="4.28515625" hidden="1" customWidth="1"/>
    <col min="51" max="51" width="5.140625" hidden="1" customWidth="1"/>
    <col min="52" max="52" width="4.28515625" hidden="1" customWidth="1"/>
    <col min="53" max="53" width="3.28515625" hidden="1" customWidth="1"/>
    <col min="54" max="54" width="3.7109375" hidden="1" customWidth="1"/>
    <col min="55" max="55" width="4.28515625" hidden="1" customWidth="1"/>
    <col min="56" max="56" width="5" hidden="1" customWidth="1"/>
    <col min="57" max="57" width="4.28515625" hidden="1" customWidth="1"/>
    <col min="58" max="58" width="5.140625" hidden="1" customWidth="1"/>
    <col min="59" max="59" width="4.28515625" hidden="1" customWidth="1"/>
    <col min="60" max="60" width="3.28515625" hidden="1" customWidth="1"/>
    <col min="61" max="61" width="3.7109375" hidden="1" customWidth="1"/>
    <col min="62" max="62" width="4.28515625" hidden="1" customWidth="1"/>
    <col min="63" max="63" width="5" hidden="1" customWidth="1"/>
    <col min="64" max="64" width="4.28515625" hidden="1" customWidth="1"/>
    <col min="65" max="65" width="5.140625" hidden="1" customWidth="1"/>
    <col min="66" max="66" width="4.28515625" hidden="1" customWidth="1"/>
    <col min="67" max="67" width="3.28515625" hidden="1" customWidth="1"/>
    <col min="68" max="68" width="3.7109375" hidden="1" customWidth="1"/>
    <col min="69" max="69" width="4.28515625" hidden="1" customWidth="1"/>
    <col min="70" max="70" width="5" hidden="1" customWidth="1"/>
    <col min="71" max="71" width="4.28515625" hidden="1" customWidth="1"/>
    <col min="72" max="72" width="9.140625" hidden="1"/>
    <col min="73" max="73" width="7.28515625" hidden="1" customWidth="1"/>
    <col min="74" max="74" width="18.140625" hidden="1" customWidth="1"/>
    <col min="75" max="75" width="11.5703125" hidden="1" customWidth="1"/>
    <col min="76" max="76" width="7.5703125" hidden="1" customWidth="1"/>
    <col min="77" max="77" width="4.28515625" hidden="1" customWidth="1"/>
    <col min="78" max="78" width="5" hidden="1" customWidth="1"/>
    <col min="79" max="79" width="4.28515625" hidden="1" customWidth="1"/>
    <col min="80" max="80" width="5.140625" hidden="1" customWidth="1"/>
    <col min="81" max="81" width="4.28515625" hidden="1" customWidth="1"/>
    <col min="82" max="82" width="3.28515625" hidden="1" customWidth="1"/>
    <col min="83" max="83" width="3.7109375" hidden="1" customWidth="1"/>
    <col min="84" max="84" width="4.28515625" hidden="1" customWidth="1"/>
    <col min="85" max="85" width="5" hidden="1" customWidth="1"/>
    <col min="86" max="86" width="4.28515625" hidden="1" customWidth="1"/>
    <col min="87" max="87" width="5.140625" hidden="1" customWidth="1"/>
    <col min="88" max="88" width="4.28515625" hidden="1" customWidth="1"/>
    <col min="89" max="89" width="3.28515625" hidden="1" customWidth="1"/>
    <col min="90" max="90" width="3.7109375" hidden="1" customWidth="1"/>
    <col min="91" max="91" width="4.28515625" hidden="1" customWidth="1"/>
    <col min="92" max="92" width="5" hidden="1" customWidth="1"/>
    <col min="93" max="93" width="4.28515625" hidden="1" customWidth="1"/>
    <col min="94" max="94" width="5.140625" hidden="1" customWidth="1"/>
    <col min="95" max="95" width="4.28515625" hidden="1" customWidth="1"/>
    <col min="96" max="96" width="3.28515625" hidden="1" customWidth="1"/>
    <col min="97" max="97" width="3.7109375" hidden="1" customWidth="1"/>
    <col min="98" max="98" width="4.28515625" hidden="1" customWidth="1"/>
    <col min="99" max="99" width="5" hidden="1" customWidth="1"/>
    <col min="100" max="100" width="4.28515625" hidden="1" customWidth="1"/>
    <col min="101" max="101" width="5.140625" hidden="1" customWidth="1"/>
    <col min="102" max="102" width="4.28515625" hidden="1" customWidth="1"/>
    <col min="103" max="103" width="3.28515625" hidden="1" customWidth="1"/>
    <col min="104" max="104" width="3.7109375" hidden="1" customWidth="1"/>
    <col min="105" max="105" width="4.28515625" hidden="1" customWidth="1"/>
    <col min="106" max="106" width="5" hidden="1" customWidth="1"/>
    <col min="107" max="108" width="9.140625" hidden="1"/>
    <col min="109" max="109" width="7.28515625" hidden="1" customWidth="1"/>
    <col min="110" max="110" width="18.140625" hidden="1" customWidth="1"/>
    <col min="111" max="111" width="11.5703125" hidden="1" customWidth="1"/>
    <col min="112" max="112" width="7.5703125" hidden="1" customWidth="1"/>
    <col min="113" max="113" width="4.28515625" hidden="1" customWidth="1"/>
    <col min="114" max="114" width="5" hidden="1" customWidth="1"/>
    <col min="115" max="115" width="4.28515625" hidden="1" customWidth="1"/>
    <col min="116" max="116" width="5.140625" hidden="1" customWidth="1"/>
    <col min="117" max="117" width="4.28515625" hidden="1" customWidth="1"/>
    <col min="118" max="118" width="3.28515625" hidden="1" customWidth="1"/>
    <col min="119" max="119" width="3.7109375" hidden="1" customWidth="1"/>
    <col min="120" max="120" width="4.28515625" hidden="1" customWidth="1"/>
    <col min="121" max="121" width="5" hidden="1" customWidth="1"/>
    <col min="122" max="122" width="4.28515625" hidden="1" customWidth="1"/>
    <col min="123" max="123" width="5.140625" hidden="1" customWidth="1"/>
    <col min="124" max="124" width="4.28515625" hidden="1" customWidth="1"/>
    <col min="125" max="125" width="3.28515625" hidden="1" customWidth="1"/>
    <col min="126" max="126" width="3.7109375" hidden="1" customWidth="1"/>
    <col min="127" max="127" width="4.28515625" hidden="1" customWidth="1"/>
    <col min="128" max="128" width="5" hidden="1" customWidth="1"/>
    <col min="129" max="129" width="4.28515625" hidden="1" customWidth="1"/>
    <col min="130" max="130" width="5.140625" hidden="1" customWidth="1"/>
    <col min="131" max="131" width="4.28515625" hidden="1" customWidth="1"/>
    <col min="132" max="132" width="3.28515625" hidden="1" customWidth="1"/>
    <col min="133" max="133" width="3.7109375" hidden="1" customWidth="1"/>
    <col min="134" max="134" width="4.28515625" hidden="1" customWidth="1"/>
    <col min="135" max="135" width="5" hidden="1" customWidth="1"/>
    <col min="136" max="136" width="4.28515625" hidden="1" customWidth="1"/>
    <col min="137" max="137" width="5.140625" hidden="1" customWidth="1"/>
    <col min="138" max="138" width="4.28515625" hidden="1" customWidth="1"/>
    <col min="139" max="139" width="3.28515625" hidden="1" customWidth="1"/>
    <col min="140" max="140" width="3.7109375" hidden="1" customWidth="1"/>
    <col min="141" max="141" width="4.28515625" hidden="1" customWidth="1"/>
    <col min="142" max="142" width="5" hidden="1" customWidth="1"/>
    <col min="143" max="143" width="4.28515625" hidden="1" customWidth="1"/>
    <col min="144" max="145" width="9.140625" hidden="1"/>
    <col min="146" max="146" width="7.28515625" hidden="1" customWidth="1"/>
    <col min="147" max="147" width="18.140625" hidden="1" customWidth="1"/>
    <col min="148" max="148" width="11.5703125" hidden="1" customWidth="1"/>
    <col min="149" max="149" width="7.5703125" hidden="1" customWidth="1"/>
    <col min="150" max="150" width="4.28515625" hidden="1" customWidth="1"/>
    <col min="151" max="151" width="5" hidden="1" customWidth="1"/>
    <col min="152" max="152" width="4.28515625" hidden="1" customWidth="1"/>
    <col min="153" max="153" width="5.140625" hidden="1" customWidth="1"/>
    <col min="154" max="154" width="4.28515625" hidden="1" customWidth="1"/>
    <col min="155" max="155" width="3.28515625" hidden="1" customWidth="1"/>
    <col min="156" max="156" width="3.7109375" hidden="1" customWidth="1"/>
    <col min="157" max="157" width="4.28515625" hidden="1" customWidth="1"/>
    <col min="158" max="158" width="5" hidden="1" customWidth="1"/>
    <col min="159" max="159" width="4.28515625" hidden="1" customWidth="1"/>
    <col min="160" max="160" width="5.140625" hidden="1" customWidth="1"/>
    <col min="161" max="161" width="4.28515625" hidden="1" customWidth="1"/>
    <col min="162" max="162" width="3.28515625" hidden="1" customWidth="1"/>
    <col min="163" max="163" width="3.7109375" hidden="1" customWidth="1"/>
    <col min="164" max="164" width="4.28515625" hidden="1" customWidth="1"/>
    <col min="165" max="165" width="5" hidden="1" customWidth="1"/>
    <col min="166" max="166" width="4.28515625" hidden="1" customWidth="1"/>
    <col min="167" max="167" width="5.140625" hidden="1" customWidth="1"/>
    <col min="168" max="168" width="4.28515625" hidden="1" customWidth="1"/>
    <col min="169" max="169" width="3.28515625" hidden="1" customWidth="1"/>
    <col min="170" max="170" width="3.7109375" hidden="1" customWidth="1"/>
    <col min="171" max="171" width="4.28515625" hidden="1" customWidth="1"/>
    <col min="172" max="172" width="5" hidden="1" customWidth="1"/>
    <col min="173" max="173" width="4.28515625" hidden="1" customWidth="1"/>
    <col min="174" max="174" width="5.140625" hidden="1" customWidth="1"/>
    <col min="175" max="175" width="4.28515625" hidden="1" customWidth="1"/>
    <col min="176" max="176" width="3.28515625" hidden="1" customWidth="1"/>
    <col min="177" max="177" width="3.7109375" hidden="1" customWidth="1"/>
    <col min="178" max="178" width="4.28515625" hidden="1" customWidth="1"/>
    <col min="179" max="179" width="5" hidden="1" customWidth="1"/>
    <col min="180" max="180" width="4.28515625" hidden="1" customWidth="1"/>
    <col min="181" max="182" width="9.140625" hidden="1"/>
    <col min="183" max="183" width="7.28515625" hidden="1" customWidth="1"/>
    <col min="184" max="184" width="18.140625" hidden="1" customWidth="1"/>
    <col min="185" max="185" width="11.5703125" hidden="1" customWidth="1"/>
    <col min="186" max="186" width="7.5703125" hidden="1" customWidth="1"/>
    <col min="187" max="187" width="4.28515625" hidden="1" customWidth="1"/>
    <col min="188" max="188" width="5" hidden="1" customWidth="1"/>
    <col min="189" max="189" width="4.28515625" hidden="1" customWidth="1"/>
    <col min="190" max="190" width="5.140625" hidden="1" customWidth="1"/>
    <col min="191" max="191" width="4.28515625" hidden="1" customWidth="1"/>
    <col min="192" max="192" width="3.28515625" hidden="1" customWidth="1"/>
    <col min="193" max="193" width="3.7109375" hidden="1" customWidth="1"/>
    <col min="194" max="194" width="4.28515625" hidden="1" customWidth="1"/>
    <col min="195" max="195" width="5" hidden="1" customWidth="1"/>
    <col min="196" max="196" width="4.28515625" hidden="1" customWidth="1"/>
    <col min="197" max="197" width="5.140625" hidden="1" customWidth="1"/>
    <col min="198" max="198" width="4.28515625" hidden="1" customWidth="1"/>
    <col min="199" max="199" width="3.28515625" hidden="1" customWidth="1"/>
    <col min="200" max="200" width="3.7109375" hidden="1" customWidth="1"/>
    <col min="201" max="201" width="4.28515625" hidden="1" customWidth="1"/>
    <col min="202" max="202" width="5" hidden="1" customWidth="1"/>
    <col min="203" max="203" width="4.28515625" hidden="1" customWidth="1"/>
    <col min="204" max="204" width="5.140625" hidden="1" customWidth="1"/>
    <col min="205" max="205" width="4.28515625" hidden="1" customWidth="1"/>
    <col min="206" max="206" width="3.28515625" hidden="1" customWidth="1"/>
    <col min="207" max="207" width="3.7109375" hidden="1" customWidth="1"/>
    <col min="208" max="208" width="4.28515625" hidden="1" customWidth="1"/>
    <col min="209" max="209" width="5" hidden="1" customWidth="1"/>
    <col min="210" max="210" width="4.28515625" hidden="1" customWidth="1"/>
    <col min="211" max="211" width="5.140625" hidden="1" customWidth="1"/>
    <col min="212" max="212" width="4.28515625" hidden="1" customWidth="1"/>
    <col min="213" max="213" width="3.28515625" hidden="1" customWidth="1"/>
    <col min="214" max="214" width="3.7109375" hidden="1" customWidth="1"/>
    <col min="215" max="215" width="4.28515625" hidden="1" customWidth="1"/>
    <col min="216" max="216" width="5" hidden="1" customWidth="1"/>
    <col min="217" max="218" width="9.140625" hidden="1"/>
    <col min="219" max="219" width="7.28515625" hidden="1" customWidth="1"/>
    <col min="220" max="220" width="18.140625" hidden="1" customWidth="1"/>
    <col min="221" max="221" width="11.5703125" hidden="1" customWidth="1"/>
    <col min="222" max="222" width="7.5703125" hidden="1" customWidth="1"/>
    <col min="223" max="223" width="4.28515625" hidden="1" customWidth="1"/>
    <col min="224" max="224" width="5" hidden="1" customWidth="1"/>
    <col min="225" max="225" width="4.28515625" hidden="1" customWidth="1"/>
    <col min="226" max="226" width="5.140625" hidden="1" customWidth="1"/>
    <col min="227" max="227" width="4.28515625" hidden="1" customWidth="1"/>
    <col min="228" max="228" width="3.28515625" hidden="1" customWidth="1"/>
    <col min="229" max="229" width="3.7109375" hidden="1" customWidth="1"/>
    <col min="230" max="230" width="4.28515625" hidden="1" customWidth="1"/>
    <col min="231" max="231" width="5" hidden="1" customWidth="1"/>
    <col min="232" max="232" width="4.28515625" hidden="1" customWidth="1"/>
    <col min="233" max="233" width="5.140625" hidden="1" customWidth="1"/>
    <col min="234" max="234" width="4.28515625" hidden="1" customWidth="1"/>
    <col min="235" max="235" width="3.28515625" hidden="1" customWidth="1"/>
    <col min="236" max="236" width="3.7109375" hidden="1" customWidth="1"/>
    <col min="237" max="237" width="4.28515625" hidden="1" customWidth="1"/>
    <col min="238" max="238" width="5" hidden="1" customWidth="1"/>
    <col min="239" max="239" width="4.28515625" hidden="1" customWidth="1"/>
    <col min="240" max="240" width="5.140625" hidden="1" customWidth="1"/>
    <col min="241" max="241" width="4.28515625" hidden="1" customWidth="1"/>
    <col min="242" max="242" width="3.28515625" hidden="1" customWidth="1"/>
    <col min="243" max="243" width="3.7109375" hidden="1" customWidth="1"/>
    <col min="244" max="244" width="4.28515625" hidden="1" customWidth="1"/>
    <col min="245" max="245" width="5" hidden="1" customWidth="1"/>
    <col min="246" max="246" width="4.28515625" hidden="1" customWidth="1"/>
    <col min="247" max="247" width="5.140625" hidden="1" customWidth="1"/>
    <col min="248" max="248" width="4.28515625" hidden="1" customWidth="1"/>
    <col min="249" max="249" width="3.28515625" hidden="1" customWidth="1"/>
    <col min="250" max="250" width="3.7109375" hidden="1" customWidth="1"/>
    <col min="251" max="251" width="4.28515625" hidden="1" customWidth="1"/>
    <col min="252" max="252" width="5" hidden="1" customWidth="1"/>
    <col min="253" max="253" width="4.28515625" hidden="1" customWidth="1"/>
    <col min="254" max="255" width="9.140625" hidden="1"/>
    <col min="256" max="256" width="7.28515625" hidden="1" customWidth="1"/>
    <col min="257" max="257" width="18.140625" hidden="1" customWidth="1"/>
    <col min="258" max="258" width="11.5703125" hidden="1" customWidth="1"/>
    <col min="259" max="259" width="7.5703125" hidden="1" customWidth="1"/>
    <col min="260" max="260" width="4.28515625" hidden="1" customWidth="1"/>
    <col min="261" max="261" width="5" hidden="1" customWidth="1"/>
    <col min="262" max="262" width="4.28515625" hidden="1" customWidth="1"/>
    <col min="263" max="263" width="5.140625" hidden="1" customWidth="1"/>
    <col min="264" max="264" width="4.28515625" hidden="1" customWidth="1"/>
    <col min="265" max="265" width="3.28515625" hidden="1" customWidth="1"/>
    <col min="266" max="266" width="3.7109375" hidden="1" customWidth="1"/>
    <col min="267" max="267" width="4.28515625" hidden="1" customWidth="1"/>
    <col min="268" max="268" width="5" hidden="1" customWidth="1"/>
    <col min="269" max="269" width="4.28515625" hidden="1" customWidth="1"/>
    <col min="270" max="270" width="5.140625" hidden="1" customWidth="1"/>
    <col min="271" max="271" width="4.28515625" hidden="1" customWidth="1"/>
    <col min="272" max="272" width="3.28515625" hidden="1" customWidth="1"/>
    <col min="273" max="273" width="3.7109375" hidden="1" customWidth="1"/>
    <col min="274" max="274" width="4.28515625" hidden="1" customWidth="1"/>
    <col min="275" max="275" width="5" hidden="1" customWidth="1"/>
    <col min="276" max="276" width="4.28515625" hidden="1" customWidth="1"/>
    <col min="277" max="277" width="5.140625" hidden="1" customWidth="1"/>
    <col min="278" max="278" width="4.28515625" hidden="1" customWidth="1"/>
    <col min="279" max="279" width="3.28515625" hidden="1" customWidth="1"/>
    <col min="280" max="280" width="3.7109375" hidden="1" customWidth="1"/>
    <col min="281" max="281" width="4.28515625" hidden="1" customWidth="1"/>
    <col min="282" max="282" width="5" hidden="1" customWidth="1"/>
    <col min="283" max="283" width="4.28515625" hidden="1" customWidth="1"/>
    <col min="284" max="284" width="5.140625" hidden="1" customWidth="1"/>
    <col min="285" max="285" width="4.28515625" hidden="1" customWidth="1"/>
    <col min="286" max="286" width="3.28515625" hidden="1" customWidth="1"/>
    <col min="287" max="287" width="3.7109375" hidden="1" customWidth="1"/>
    <col min="288" max="288" width="4.28515625" hidden="1" customWidth="1"/>
    <col min="289" max="289" width="5" hidden="1" customWidth="1"/>
    <col min="290" max="291" width="9.140625" hidden="1"/>
    <col min="292" max="292" width="7.28515625" hidden="1" customWidth="1"/>
    <col min="293" max="293" width="18.140625" hidden="1" customWidth="1"/>
    <col min="294" max="294" width="11.5703125" hidden="1" customWidth="1"/>
    <col min="295" max="295" width="7.5703125" hidden="1" customWidth="1"/>
    <col min="296" max="296" width="4.28515625" hidden="1" customWidth="1"/>
    <col min="297" max="297" width="5" hidden="1" customWidth="1"/>
    <col min="298" max="298" width="4.28515625" hidden="1" customWidth="1"/>
    <col min="299" max="299" width="5.140625" hidden="1" customWidth="1"/>
    <col min="300" max="300" width="4.28515625" hidden="1" customWidth="1"/>
    <col min="301" max="301" width="3.28515625" hidden="1" customWidth="1"/>
    <col min="302" max="302" width="3.7109375" hidden="1" customWidth="1"/>
    <col min="303" max="303" width="4.28515625" hidden="1" customWidth="1"/>
    <col min="304" max="304" width="5" hidden="1" customWidth="1"/>
    <col min="305" max="305" width="4.28515625" hidden="1" customWidth="1"/>
    <col min="306" max="306" width="5.140625" hidden="1" customWidth="1"/>
    <col min="307" max="307" width="4.28515625" hidden="1" customWidth="1"/>
    <col min="308" max="308" width="3.28515625" hidden="1" customWidth="1"/>
    <col min="309" max="309" width="3.7109375" hidden="1" customWidth="1"/>
    <col min="310" max="310" width="4.28515625" hidden="1" customWidth="1"/>
    <col min="311" max="311" width="5" hidden="1" customWidth="1"/>
    <col min="312" max="312" width="4.28515625" hidden="1" customWidth="1"/>
    <col min="313" max="313" width="5.140625" hidden="1" customWidth="1"/>
    <col min="314" max="314" width="4.28515625" hidden="1" customWidth="1"/>
    <col min="315" max="315" width="3.28515625" hidden="1" customWidth="1"/>
    <col min="316" max="316" width="3.7109375" hidden="1" customWidth="1"/>
    <col min="317" max="317" width="4.28515625" hidden="1" customWidth="1"/>
    <col min="318" max="318" width="5" hidden="1" customWidth="1"/>
    <col min="319" max="319" width="4.28515625" hidden="1" customWidth="1"/>
    <col min="320" max="320" width="5.140625" hidden="1" customWidth="1"/>
    <col min="321" max="321" width="4.28515625" hidden="1" customWidth="1"/>
    <col min="322" max="322" width="3.28515625" hidden="1" customWidth="1"/>
    <col min="323" max="323" width="3.7109375" hidden="1" customWidth="1"/>
    <col min="324" max="324" width="4.28515625" hidden="1" customWidth="1"/>
    <col min="325" max="325" width="5" hidden="1" customWidth="1"/>
    <col min="326" max="326" width="4.28515625" hidden="1" customWidth="1"/>
    <col min="327" max="328" width="9.140625" hidden="1"/>
    <col min="329" max="329" width="7.28515625" hidden="1" customWidth="1"/>
    <col min="330" max="330" width="18.140625" hidden="1" customWidth="1"/>
    <col min="331" max="331" width="11.5703125" hidden="1" customWidth="1"/>
    <col min="332" max="332" width="7.5703125" hidden="1" customWidth="1"/>
    <col min="333" max="333" width="4.28515625" hidden="1" customWidth="1"/>
    <col min="334" max="334" width="5" hidden="1" customWidth="1"/>
    <col min="335" max="335" width="4.28515625" hidden="1" customWidth="1"/>
    <col min="336" max="336" width="5.140625" hidden="1" customWidth="1"/>
    <col min="337" max="337" width="4.28515625" hidden="1" customWidth="1"/>
    <col min="338" max="338" width="3.28515625" hidden="1" customWidth="1"/>
    <col min="339" max="339" width="3.7109375" hidden="1" customWidth="1"/>
    <col min="340" max="340" width="4.28515625" hidden="1" customWidth="1"/>
    <col min="341" max="341" width="5" hidden="1" customWidth="1"/>
    <col min="342" max="342" width="4.28515625" hidden="1" customWidth="1"/>
    <col min="343" max="343" width="5.140625" hidden="1" customWidth="1"/>
    <col min="344" max="344" width="4.28515625" hidden="1" customWidth="1"/>
    <col min="345" max="345" width="3.28515625" hidden="1" customWidth="1"/>
    <col min="346" max="346" width="3.7109375" hidden="1" customWidth="1"/>
    <col min="347" max="347" width="4.28515625" hidden="1" customWidth="1"/>
    <col min="348" max="348" width="5" hidden="1" customWidth="1"/>
    <col min="349" max="349" width="4.28515625" hidden="1" customWidth="1"/>
    <col min="350" max="350" width="5.140625" hidden="1" customWidth="1"/>
    <col min="351" max="351" width="4.28515625" hidden="1" customWidth="1"/>
    <col min="352" max="352" width="3.28515625" hidden="1" customWidth="1"/>
    <col min="353" max="353" width="3.7109375" hidden="1" customWidth="1"/>
    <col min="354" max="354" width="4.28515625" hidden="1" customWidth="1"/>
    <col min="355" max="355" width="5" hidden="1" customWidth="1"/>
    <col min="356" max="356" width="4.28515625" hidden="1" customWidth="1"/>
    <col min="357" max="357" width="5.140625" hidden="1" customWidth="1"/>
    <col min="358" max="358" width="4.28515625" hidden="1" customWidth="1"/>
    <col min="359" max="359" width="3.28515625" hidden="1" customWidth="1"/>
    <col min="360" max="360" width="3.7109375" hidden="1" customWidth="1"/>
    <col min="361" max="361" width="4.28515625" hidden="1" customWidth="1"/>
    <col min="362" max="362" width="5" hidden="1" customWidth="1"/>
    <col min="363" max="363" width="4.28515625" hidden="1" customWidth="1"/>
    <col min="364" max="365" width="9.140625" hidden="1"/>
    <col min="366" max="366" width="7.28515625" hidden="1" customWidth="1"/>
    <col min="367" max="367" width="18.140625" hidden="1" customWidth="1"/>
    <col min="368" max="368" width="11.5703125" hidden="1" customWidth="1"/>
    <col min="369" max="369" width="7.5703125" hidden="1" customWidth="1"/>
    <col min="370" max="370" width="4.28515625" hidden="1" customWidth="1"/>
    <col min="371" max="371" width="5" hidden="1" customWidth="1"/>
    <col min="372" max="372" width="4.28515625" hidden="1" customWidth="1"/>
    <col min="373" max="373" width="5.140625" hidden="1" customWidth="1"/>
    <col min="374" max="374" width="4.28515625" hidden="1" customWidth="1"/>
    <col min="375" max="375" width="3.28515625" hidden="1" customWidth="1"/>
    <col min="376" max="376" width="3.7109375" hidden="1" customWidth="1"/>
    <col min="377" max="377" width="4.28515625" hidden="1" customWidth="1"/>
    <col min="378" max="378" width="5" hidden="1" customWidth="1"/>
    <col min="379" max="379" width="4.28515625" hidden="1" customWidth="1"/>
    <col min="380" max="380" width="5.140625" hidden="1" customWidth="1"/>
    <col min="381" max="381" width="4.28515625" hidden="1" customWidth="1"/>
    <col min="382" max="382" width="3.28515625" hidden="1" customWidth="1"/>
    <col min="383" max="383" width="3.7109375" hidden="1" customWidth="1"/>
    <col min="384" max="384" width="4.28515625" hidden="1" customWidth="1"/>
    <col min="385" max="385" width="5" hidden="1" customWidth="1"/>
    <col min="386" max="386" width="4.28515625" hidden="1" customWidth="1"/>
    <col min="387" max="387" width="5.140625" hidden="1" customWidth="1"/>
    <col min="388" max="388" width="4.28515625" hidden="1" customWidth="1"/>
    <col min="389" max="389" width="3.28515625" hidden="1" customWidth="1"/>
    <col min="390" max="390" width="3.7109375" hidden="1" customWidth="1"/>
    <col min="391" max="391" width="4.28515625" hidden="1" customWidth="1"/>
    <col min="392" max="392" width="5" hidden="1" customWidth="1"/>
    <col min="393" max="393" width="4.28515625" hidden="1" customWidth="1"/>
    <col min="394" max="394" width="5.140625" hidden="1" customWidth="1"/>
    <col min="395" max="395" width="4.28515625" hidden="1" customWidth="1"/>
    <col min="396" max="396" width="3.28515625" hidden="1" customWidth="1"/>
    <col min="397" max="397" width="3.7109375" hidden="1" customWidth="1"/>
    <col min="398" max="399" width="9.140625" hidden="1"/>
    <col min="400" max="400" width="7.28515625" hidden="1" customWidth="1"/>
    <col min="401" max="401" width="18.140625" hidden="1" customWidth="1"/>
    <col min="402" max="402" width="11.5703125" hidden="1" customWidth="1"/>
    <col min="403" max="403" width="7.5703125" hidden="1" customWidth="1"/>
    <col min="404" max="404" width="4.28515625" hidden="1" customWidth="1"/>
    <col min="405" max="405" width="5" hidden="1" customWidth="1"/>
    <col min="406" max="406" width="4.28515625" hidden="1" customWidth="1"/>
    <col min="407" max="407" width="5.140625" hidden="1" customWidth="1"/>
    <col min="408" max="408" width="4.28515625" hidden="1" customWidth="1"/>
    <col min="409" max="409" width="3.28515625" hidden="1" customWidth="1"/>
    <col min="410" max="410" width="3.7109375" hidden="1" customWidth="1"/>
    <col min="411" max="411" width="4.28515625" hidden="1" customWidth="1"/>
    <col min="412" max="412" width="5" hidden="1" customWidth="1"/>
    <col min="413" max="413" width="4.28515625" hidden="1" customWidth="1"/>
    <col min="414" max="414" width="5.140625" hidden="1" customWidth="1"/>
    <col min="415" max="415" width="4.28515625" hidden="1" customWidth="1"/>
    <col min="416" max="416" width="3.28515625" hidden="1" customWidth="1"/>
    <col min="417" max="417" width="3.7109375" hidden="1" customWidth="1"/>
    <col min="418" max="418" width="4.28515625" hidden="1" customWidth="1"/>
    <col min="419" max="419" width="5" hidden="1" customWidth="1"/>
    <col min="420" max="420" width="4.28515625" hidden="1" customWidth="1"/>
    <col min="421" max="421" width="5.140625" hidden="1" customWidth="1"/>
    <col min="422" max="422" width="4.28515625" hidden="1" customWidth="1"/>
    <col min="423" max="423" width="3.28515625" hidden="1" customWidth="1"/>
    <col min="424" max="424" width="3.7109375" hidden="1" customWidth="1"/>
    <col min="425" max="425" width="4.28515625" hidden="1" customWidth="1"/>
    <col min="426" max="426" width="5" hidden="1" customWidth="1"/>
    <col min="427" max="427" width="4.28515625" hidden="1" customWidth="1"/>
    <col min="428" max="428" width="5.140625" hidden="1" customWidth="1"/>
    <col min="429" max="429" width="4.28515625" hidden="1" customWidth="1"/>
    <col min="430" max="430" width="3.28515625" hidden="1" customWidth="1"/>
    <col min="431" max="431" width="3.7109375" hidden="1" customWidth="1"/>
    <col min="432" max="432" width="4.28515625" hidden="1" customWidth="1"/>
    <col min="433" max="433" width="5" hidden="1" customWidth="1"/>
    <col min="434" max="434" width="4.28515625" hidden="1" customWidth="1"/>
  </cols>
  <sheetData>
    <row r="4" spans="1:434" ht="15.75" customHeight="1" x14ac:dyDescent="0.25">
      <c r="A4" s="5" t="str">
        <f>TEXT(E6,"MMM-YY")</f>
        <v>Apr-23</v>
      </c>
      <c r="AK4" s="5" t="str">
        <f>TEXT(AO6,"MMM-YY")</f>
        <v>May-23</v>
      </c>
      <c r="BU4" s="5" t="str">
        <f>TEXT(BY6,"mmm-YY")</f>
        <v>Jun-23</v>
      </c>
      <c r="DE4" s="5" t="str">
        <f>TEXT(DI6,"mmm-YY")</f>
        <v>Jul-23</v>
      </c>
      <c r="EP4" s="5" t="str">
        <f>TEXT(ET6,"mmm-YY")</f>
        <v>Aug-23</v>
      </c>
      <c r="GA4" s="5" t="str">
        <f>TEXT(GE6,"mmm-YY")</f>
        <v>Sep-23</v>
      </c>
      <c r="HK4" s="5" t="str">
        <f>TEXT(HO6,"mmm-YY")</f>
        <v>Oct-23</v>
      </c>
      <c r="IV4" s="5" t="str">
        <f>TEXT(IZ6,"mmm-YY")</f>
        <v>Nov-23</v>
      </c>
      <c r="KF4" s="5" t="str">
        <f>TEXT(KJ6,"mmm-YY")</f>
        <v>Dec-23</v>
      </c>
      <c r="LQ4" s="5" t="str">
        <f>TEXT(LU6,"MMM-YY")</f>
        <v>Jan-24</v>
      </c>
      <c r="NB4" s="5" t="str">
        <f>TEXT(NF6,"mmm-YY")</f>
        <v>Feb-24</v>
      </c>
      <c r="OJ4" s="5" t="str">
        <f>TEXT(ON6,"mmm-YY")</f>
        <v>Mar-24</v>
      </c>
    </row>
    <row r="5" spans="1:434" x14ac:dyDescent="0.25">
      <c r="A5" s="9" t="s">
        <v>48</v>
      </c>
      <c r="B5" s="9" t="s">
        <v>1</v>
      </c>
      <c r="C5" s="9" t="s">
        <v>2</v>
      </c>
      <c r="D5" s="9" t="s">
        <v>57</v>
      </c>
      <c r="E5" s="6" t="str">
        <f>TEXT(E6,"ddd")</f>
        <v>Sat</v>
      </c>
      <c r="F5" s="6" t="str">
        <f t="shared" ref="F5:AH5" si="0">TEXT(F6,"ddd")</f>
        <v>Sun</v>
      </c>
      <c r="G5" s="6" t="str">
        <f t="shared" si="0"/>
        <v>Mon</v>
      </c>
      <c r="H5" s="6" t="str">
        <f t="shared" si="0"/>
        <v>Tue</v>
      </c>
      <c r="I5" s="6" t="str">
        <f t="shared" si="0"/>
        <v>Wed</v>
      </c>
      <c r="J5" s="6" t="str">
        <f t="shared" si="0"/>
        <v>Thu</v>
      </c>
      <c r="K5" s="6" t="str">
        <f t="shared" si="0"/>
        <v>Fri</v>
      </c>
      <c r="L5" s="6" t="str">
        <f t="shared" si="0"/>
        <v>Sat</v>
      </c>
      <c r="M5" s="6" t="str">
        <f t="shared" si="0"/>
        <v>Sun</v>
      </c>
      <c r="N5" s="6" t="str">
        <f t="shared" si="0"/>
        <v>Mon</v>
      </c>
      <c r="O5" s="6" t="str">
        <f t="shared" si="0"/>
        <v>Tue</v>
      </c>
      <c r="P5" s="6" t="str">
        <f t="shared" si="0"/>
        <v>Wed</v>
      </c>
      <c r="Q5" s="6" t="str">
        <f t="shared" si="0"/>
        <v>Thu</v>
      </c>
      <c r="R5" s="6" t="str">
        <f t="shared" si="0"/>
        <v>Fri</v>
      </c>
      <c r="S5" s="6" t="str">
        <f t="shared" si="0"/>
        <v>Sat</v>
      </c>
      <c r="T5" s="6" t="str">
        <f t="shared" si="0"/>
        <v>Sun</v>
      </c>
      <c r="U5" s="6" t="str">
        <f t="shared" si="0"/>
        <v>Mon</v>
      </c>
      <c r="V5" s="6" t="str">
        <f t="shared" si="0"/>
        <v>Tue</v>
      </c>
      <c r="W5" s="6" t="str">
        <f t="shared" si="0"/>
        <v>Wed</v>
      </c>
      <c r="X5" s="6" t="str">
        <f t="shared" si="0"/>
        <v>Thu</v>
      </c>
      <c r="Y5" s="6" t="str">
        <f t="shared" si="0"/>
        <v>Fri</v>
      </c>
      <c r="Z5" s="6" t="str">
        <f t="shared" si="0"/>
        <v>Sat</v>
      </c>
      <c r="AA5" s="6" t="str">
        <f t="shared" si="0"/>
        <v>Sun</v>
      </c>
      <c r="AB5" s="6" t="str">
        <f t="shared" si="0"/>
        <v>Mon</v>
      </c>
      <c r="AC5" s="6" t="str">
        <f t="shared" si="0"/>
        <v>Tue</v>
      </c>
      <c r="AD5" s="6" t="str">
        <f t="shared" si="0"/>
        <v>Wed</v>
      </c>
      <c r="AE5" s="6" t="str">
        <f t="shared" si="0"/>
        <v>Thu</v>
      </c>
      <c r="AF5" s="6" t="str">
        <f t="shared" si="0"/>
        <v>Fri</v>
      </c>
      <c r="AG5" s="6" t="str">
        <f t="shared" si="0"/>
        <v>Sat</v>
      </c>
      <c r="AH5" s="6" t="str">
        <f t="shared" si="0"/>
        <v>Sun</v>
      </c>
      <c r="AK5" s="7"/>
      <c r="AL5" s="7"/>
      <c r="AM5" s="7"/>
      <c r="AN5" s="7"/>
      <c r="AO5" s="6" t="str">
        <f>TEXT(AO6,"ddd")</f>
        <v>Mon</v>
      </c>
      <c r="AP5" s="6" t="str">
        <f t="shared" ref="AP5" si="1">TEXT(AP6,"ddd")</f>
        <v>Tue</v>
      </c>
      <c r="AQ5" s="6" t="str">
        <f t="shared" ref="AQ5" si="2">TEXT(AQ6,"ddd")</f>
        <v>Wed</v>
      </c>
      <c r="AR5" s="6" t="str">
        <f t="shared" ref="AR5" si="3">TEXT(AR6,"ddd")</f>
        <v>Thu</v>
      </c>
      <c r="AS5" s="6" t="str">
        <f t="shared" ref="AS5" si="4">TEXT(AS6,"ddd")</f>
        <v>Fri</v>
      </c>
      <c r="AT5" s="6" t="str">
        <f t="shared" ref="AT5" si="5">TEXT(AT6,"ddd")</f>
        <v>Sat</v>
      </c>
      <c r="AU5" s="6" t="str">
        <f t="shared" ref="AU5" si="6">TEXT(AU6,"ddd")</f>
        <v>Sun</v>
      </c>
      <c r="AV5" s="6" t="str">
        <f t="shared" ref="AV5" si="7">TEXT(AV6,"ddd")</f>
        <v>Mon</v>
      </c>
      <c r="AW5" s="6" t="str">
        <f t="shared" ref="AW5" si="8">TEXT(AW6,"ddd")</f>
        <v>Tue</v>
      </c>
      <c r="AX5" s="6" t="str">
        <f t="shared" ref="AX5" si="9">TEXT(AX6,"ddd")</f>
        <v>Wed</v>
      </c>
      <c r="AY5" s="6" t="str">
        <f t="shared" ref="AY5" si="10">TEXT(AY6,"ddd")</f>
        <v>Thu</v>
      </c>
      <c r="AZ5" s="6" t="str">
        <f t="shared" ref="AZ5" si="11">TEXT(AZ6,"ddd")</f>
        <v>Fri</v>
      </c>
      <c r="BA5" s="6" t="str">
        <f t="shared" ref="BA5" si="12">TEXT(BA6,"ddd")</f>
        <v>Sat</v>
      </c>
      <c r="BB5" s="6" t="str">
        <f t="shared" ref="BB5" si="13">TEXT(BB6,"ddd")</f>
        <v>Sun</v>
      </c>
      <c r="BC5" s="6" t="str">
        <f t="shared" ref="BC5" si="14">TEXT(BC6,"ddd")</f>
        <v>Mon</v>
      </c>
      <c r="BD5" s="6" t="str">
        <f t="shared" ref="BD5" si="15">TEXT(BD6,"ddd")</f>
        <v>Tue</v>
      </c>
      <c r="BE5" s="6" t="str">
        <f t="shared" ref="BE5" si="16">TEXT(BE6,"ddd")</f>
        <v>Wed</v>
      </c>
      <c r="BF5" s="6" t="str">
        <f t="shared" ref="BF5" si="17">TEXT(BF6,"ddd")</f>
        <v>Thu</v>
      </c>
      <c r="BG5" s="6" t="str">
        <f t="shared" ref="BG5" si="18">TEXT(BG6,"ddd")</f>
        <v>Fri</v>
      </c>
      <c r="BH5" s="6" t="str">
        <f t="shared" ref="BH5" si="19">TEXT(BH6,"ddd")</f>
        <v>Sat</v>
      </c>
      <c r="BI5" s="6" t="str">
        <f t="shared" ref="BI5" si="20">TEXT(BI6,"ddd")</f>
        <v>Sun</v>
      </c>
      <c r="BJ5" s="6" t="str">
        <f t="shared" ref="BJ5" si="21">TEXT(BJ6,"ddd")</f>
        <v>Mon</v>
      </c>
      <c r="BK5" s="6" t="str">
        <f t="shared" ref="BK5" si="22">TEXT(BK6,"ddd")</f>
        <v>Tue</v>
      </c>
      <c r="BL5" s="6" t="str">
        <f t="shared" ref="BL5" si="23">TEXT(BL6,"ddd")</f>
        <v>Wed</v>
      </c>
      <c r="BM5" s="6" t="str">
        <f t="shared" ref="BM5" si="24">TEXT(BM6,"ddd")</f>
        <v>Thu</v>
      </c>
      <c r="BN5" s="6" t="str">
        <f t="shared" ref="BN5" si="25">TEXT(BN6,"ddd")</f>
        <v>Fri</v>
      </c>
      <c r="BO5" s="6" t="str">
        <f t="shared" ref="BO5" si="26">TEXT(BO6,"ddd")</f>
        <v>Sat</v>
      </c>
      <c r="BP5" s="6" t="str">
        <f t="shared" ref="BP5" si="27">TEXT(BP6,"ddd")</f>
        <v>Sun</v>
      </c>
      <c r="BQ5" s="6" t="str">
        <f t="shared" ref="BQ5" si="28">TEXT(BQ6,"ddd")</f>
        <v>Mon</v>
      </c>
      <c r="BR5" s="6" t="str">
        <f t="shared" ref="BR5:BS5" si="29">TEXT(BR6,"ddd")</f>
        <v>Tue</v>
      </c>
      <c r="BS5" s="6" t="str">
        <f t="shared" si="29"/>
        <v>Wed</v>
      </c>
      <c r="BU5" s="7"/>
      <c r="BV5" s="7"/>
      <c r="BW5" s="7"/>
      <c r="BX5" s="7"/>
      <c r="BY5" s="6" t="str">
        <f>TEXT(BY6,"ddd")</f>
        <v>Thu</v>
      </c>
      <c r="BZ5" s="6" t="str">
        <f t="shared" ref="BZ5" si="30">TEXT(BZ6,"ddd")</f>
        <v>Fri</v>
      </c>
      <c r="CA5" s="6" t="str">
        <f t="shared" ref="CA5" si="31">TEXT(CA6,"ddd")</f>
        <v>Sat</v>
      </c>
      <c r="CB5" s="6" t="str">
        <f t="shared" ref="CB5" si="32">TEXT(CB6,"ddd")</f>
        <v>Sun</v>
      </c>
      <c r="CC5" s="6" t="str">
        <f t="shared" ref="CC5" si="33">TEXT(CC6,"ddd")</f>
        <v>Mon</v>
      </c>
      <c r="CD5" s="6" t="str">
        <f t="shared" ref="CD5" si="34">TEXT(CD6,"ddd")</f>
        <v>Tue</v>
      </c>
      <c r="CE5" s="6" t="str">
        <f t="shared" ref="CE5" si="35">TEXT(CE6,"ddd")</f>
        <v>Wed</v>
      </c>
      <c r="CF5" s="6" t="str">
        <f t="shared" ref="CF5" si="36">TEXT(CF6,"ddd")</f>
        <v>Thu</v>
      </c>
      <c r="CG5" s="6" t="str">
        <f t="shared" ref="CG5" si="37">TEXT(CG6,"ddd")</f>
        <v>Fri</v>
      </c>
      <c r="CH5" s="6" t="str">
        <f t="shared" ref="CH5" si="38">TEXT(CH6,"ddd")</f>
        <v>Sat</v>
      </c>
      <c r="CI5" s="6" t="str">
        <f t="shared" ref="CI5" si="39">TEXT(CI6,"ddd")</f>
        <v>Sun</v>
      </c>
      <c r="CJ5" s="6" t="str">
        <f t="shared" ref="CJ5" si="40">TEXT(CJ6,"ddd")</f>
        <v>Mon</v>
      </c>
      <c r="CK5" s="6" t="str">
        <f t="shared" ref="CK5" si="41">TEXT(CK6,"ddd")</f>
        <v>Tue</v>
      </c>
      <c r="CL5" s="6" t="str">
        <f t="shared" ref="CL5" si="42">TEXT(CL6,"ddd")</f>
        <v>Wed</v>
      </c>
      <c r="CM5" s="6" t="str">
        <f t="shared" ref="CM5" si="43">TEXT(CM6,"ddd")</f>
        <v>Thu</v>
      </c>
      <c r="CN5" s="6" t="str">
        <f t="shared" ref="CN5" si="44">TEXT(CN6,"ddd")</f>
        <v>Fri</v>
      </c>
      <c r="CO5" s="6" t="str">
        <f t="shared" ref="CO5" si="45">TEXT(CO6,"ddd")</f>
        <v>Sat</v>
      </c>
      <c r="CP5" s="6" t="str">
        <f t="shared" ref="CP5" si="46">TEXT(CP6,"ddd")</f>
        <v>Sun</v>
      </c>
      <c r="CQ5" s="6" t="str">
        <f t="shared" ref="CQ5" si="47">TEXT(CQ6,"ddd")</f>
        <v>Mon</v>
      </c>
      <c r="CR5" s="6" t="str">
        <f t="shared" ref="CR5" si="48">TEXT(CR6,"ddd")</f>
        <v>Tue</v>
      </c>
      <c r="CS5" s="6" t="str">
        <f t="shared" ref="CS5" si="49">TEXT(CS6,"ddd")</f>
        <v>Wed</v>
      </c>
      <c r="CT5" s="6" t="str">
        <f t="shared" ref="CT5" si="50">TEXT(CT6,"ddd")</f>
        <v>Thu</v>
      </c>
      <c r="CU5" s="6" t="str">
        <f t="shared" ref="CU5" si="51">TEXT(CU6,"ddd")</f>
        <v>Fri</v>
      </c>
      <c r="CV5" s="6" t="str">
        <f t="shared" ref="CV5" si="52">TEXT(CV6,"ddd")</f>
        <v>Sat</v>
      </c>
      <c r="CW5" s="6" t="str">
        <f t="shared" ref="CW5" si="53">TEXT(CW6,"ddd")</f>
        <v>Sun</v>
      </c>
      <c r="CX5" s="6" t="str">
        <f t="shared" ref="CX5" si="54">TEXT(CX6,"ddd")</f>
        <v>Mon</v>
      </c>
      <c r="CY5" s="6" t="str">
        <f t="shared" ref="CY5" si="55">TEXT(CY6,"ddd")</f>
        <v>Tue</v>
      </c>
      <c r="CZ5" s="6" t="str">
        <f t="shared" ref="CZ5" si="56">TEXT(CZ6,"ddd")</f>
        <v>Wed</v>
      </c>
      <c r="DA5" s="6" t="str">
        <f t="shared" ref="DA5" si="57">TEXT(DA6,"ddd")</f>
        <v>Thu</v>
      </c>
      <c r="DB5" s="6" t="str">
        <f t="shared" ref="DB5" si="58">TEXT(DB6,"ddd")</f>
        <v>Fri</v>
      </c>
      <c r="DE5" s="7"/>
      <c r="DF5" s="7"/>
      <c r="DG5" s="7"/>
      <c r="DH5" s="7"/>
      <c r="DI5" s="6" t="str">
        <f>TEXT(DI6,"ddd")</f>
        <v>Sat</v>
      </c>
      <c r="DJ5" s="6" t="str">
        <f t="shared" ref="DJ5" si="59">TEXT(DJ6,"ddd")</f>
        <v>Sun</v>
      </c>
      <c r="DK5" s="6" t="str">
        <f t="shared" ref="DK5" si="60">TEXT(DK6,"ddd")</f>
        <v>Mon</v>
      </c>
      <c r="DL5" s="6" t="str">
        <f t="shared" ref="DL5" si="61">TEXT(DL6,"ddd")</f>
        <v>Tue</v>
      </c>
      <c r="DM5" s="6" t="str">
        <f t="shared" ref="DM5" si="62">TEXT(DM6,"ddd")</f>
        <v>Wed</v>
      </c>
      <c r="DN5" s="6" t="str">
        <f t="shared" ref="DN5" si="63">TEXT(DN6,"ddd")</f>
        <v>Thu</v>
      </c>
      <c r="DO5" s="6" t="str">
        <f t="shared" ref="DO5" si="64">TEXT(DO6,"ddd")</f>
        <v>Fri</v>
      </c>
      <c r="DP5" s="6" t="str">
        <f t="shared" ref="DP5" si="65">TEXT(DP6,"ddd")</f>
        <v>Sat</v>
      </c>
      <c r="DQ5" s="6" t="str">
        <f t="shared" ref="DQ5" si="66">TEXT(DQ6,"ddd")</f>
        <v>Sun</v>
      </c>
      <c r="DR5" s="6" t="str">
        <f t="shared" ref="DR5" si="67">TEXT(DR6,"ddd")</f>
        <v>Mon</v>
      </c>
      <c r="DS5" s="6" t="str">
        <f t="shared" ref="DS5" si="68">TEXT(DS6,"ddd")</f>
        <v>Tue</v>
      </c>
      <c r="DT5" s="6" t="str">
        <f t="shared" ref="DT5" si="69">TEXT(DT6,"ddd")</f>
        <v>Wed</v>
      </c>
      <c r="DU5" s="6" t="str">
        <f t="shared" ref="DU5" si="70">TEXT(DU6,"ddd")</f>
        <v>Thu</v>
      </c>
      <c r="DV5" s="6" t="str">
        <f t="shared" ref="DV5" si="71">TEXT(DV6,"ddd")</f>
        <v>Fri</v>
      </c>
      <c r="DW5" s="6" t="str">
        <f t="shared" ref="DW5" si="72">TEXT(DW6,"ddd")</f>
        <v>Sat</v>
      </c>
      <c r="DX5" s="6" t="str">
        <f t="shared" ref="DX5" si="73">TEXT(DX6,"ddd")</f>
        <v>Sun</v>
      </c>
      <c r="DY5" s="6" t="str">
        <f t="shared" ref="DY5" si="74">TEXT(DY6,"ddd")</f>
        <v>Mon</v>
      </c>
      <c r="DZ5" s="6" t="str">
        <f t="shared" ref="DZ5" si="75">TEXT(DZ6,"ddd")</f>
        <v>Tue</v>
      </c>
      <c r="EA5" s="6" t="str">
        <f t="shared" ref="EA5" si="76">TEXT(EA6,"ddd")</f>
        <v>Wed</v>
      </c>
      <c r="EB5" s="6" t="str">
        <f t="shared" ref="EB5" si="77">TEXT(EB6,"ddd")</f>
        <v>Thu</v>
      </c>
      <c r="EC5" s="6" t="str">
        <f t="shared" ref="EC5" si="78">TEXT(EC6,"ddd")</f>
        <v>Fri</v>
      </c>
      <c r="ED5" s="6" t="str">
        <f t="shared" ref="ED5" si="79">TEXT(ED6,"ddd")</f>
        <v>Sat</v>
      </c>
      <c r="EE5" s="6" t="str">
        <f t="shared" ref="EE5" si="80">TEXT(EE6,"ddd")</f>
        <v>Sun</v>
      </c>
      <c r="EF5" s="6" t="str">
        <f t="shared" ref="EF5" si="81">TEXT(EF6,"ddd")</f>
        <v>Mon</v>
      </c>
      <c r="EG5" s="6" t="str">
        <f t="shared" ref="EG5" si="82">TEXT(EG6,"ddd")</f>
        <v>Tue</v>
      </c>
      <c r="EH5" s="6" t="str">
        <f t="shared" ref="EH5" si="83">TEXT(EH6,"ddd")</f>
        <v>Wed</v>
      </c>
      <c r="EI5" s="6" t="str">
        <f t="shared" ref="EI5" si="84">TEXT(EI6,"ddd")</f>
        <v>Thu</v>
      </c>
      <c r="EJ5" s="6" t="str">
        <f t="shared" ref="EJ5" si="85">TEXT(EJ6,"ddd")</f>
        <v>Fri</v>
      </c>
      <c r="EK5" s="6" t="str">
        <f t="shared" ref="EK5" si="86">TEXT(EK6,"ddd")</f>
        <v>Sat</v>
      </c>
      <c r="EL5" s="6" t="str">
        <f t="shared" ref="EL5:EM5" si="87">TEXT(EL6,"ddd")</f>
        <v>Sun</v>
      </c>
      <c r="EM5" s="6" t="str">
        <f t="shared" si="87"/>
        <v>Mon</v>
      </c>
      <c r="EP5" s="7"/>
      <c r="EQ5" s="7"/>
      <c r="ER5" s="7"/>
      <c r="ES5" s="7"/>
      <c r="ET5" s="6" t="str">
        <f>TEXT(ET6,"ddd")</f>
        <v>Tue</v>
      </c>
      <c r="EU5" s="6" t="str">
        <f t="shared" ref="EU5" si="88">TEXT(EU6,"ddd")</f>
        <v>Wed</v>
      </c>
      <c r="EV5" s="6" t="str">
        <f t="shared" ref="EV5" si="89">TEXT(EV6,"ddd")</f>
        <v>Thu</v>
      </c>
      <c r="EW5" s="6" t="str">
        <f t="shared" ref="EW5" si="90">TEXT(EW6,"ddd")</f>
        <v>Fri</v>
      </c>
      <c r="EX5" s="6" t="str">
        <f t="shared" ref="EX5" si="91">TEXT(EX6,"ddd")</f>
        <v>Sat</v>
      </c>
      <c r="EY5" s="6" t="str">
        <f t="shared" ref="EY5" si="92">TEXT(EY6,"ddd")</f>
        <v>Sun</v>
      </c>
      <c r="EZ5" s="6" t="str">
        <f t="shared" ref="EZ5" si="93">TEXT(EZ6,"ddd")</f>
        <v>Mon</v>
      </c>
      <c r="FA5" s="6" t="str">
        <f t="shared" ref="FA5" si="94">TEXT(FA6,"ddd")</f>
        <v>Tue</v>
      </c>
      <c r="FB5" s="6" t="str">
        <f t="shared" ref="FB5" si="95">TEXT(FB6,"ddd")</f>
        <v>Wed</v>
      </c>
      <c r="FC5" s="6" t="str">
        <f t="shared" ref="FC5" si="96">TEXT(FC6,"ddd")</f>
        <v>Thu</v>
      </c>
      <c r="FD5" s="6" t="str">
        <f t="shared" ref="FD5" si="97">TEXT(FD6,"ddd")</f>
        <v>Fri</v>
      </c>
      <c r="FE5" s="6" t="str">
        <f t="shared" ref="FE5" si="98">TEXT(FE6,"ddd")</f>
        <v>Sat</v>
      </c>
      <c r="FF5" s="6" t="str">
        <f t="shared" ref="FF5" si="99">TEXT(FF6,"ddd")</f>
        <v>Sun</v>
      </c>
      <c r="FG5" s="6" t="str">
        <f t="shared" ref="FG5" si="100">TEXT(FG6,"ddd")</f>
        <v>Mon</v>
      </c>
      <c r="FH5" s="6" t="str">
        <f t="shared" ref="FH5" si="101">TEXT(FH6,"ddd")</f>
        <v>Tue</v>
      </c>
      <c r="FI5" s="6" t="str">
        <f t="shared" ref="FI5" si="102">TEXT(FI6,"ddd")</f>
        <v>Wed</v>
      </c>
      <c r="FJ5" s="6" t="str">
        <f t="shared" ref="FJ5" si="103">TEXT(FJ6,"ddd")</f>
        <v>Thu</v>
      </c>
      <c r="FK5" s="6" t="str">
        <f t="shared" ref="FK5" si="104">TEXT(FK6,"ddd")</f>
        <v>Fri</v>
      </c>
      <c r="FL5" s="6" t="str">
        <f t="shared" ref="FL5" si="105">TEXT(FL6,"ddd")</f>
        <v>Sat</v>
      </c>
      <c r="FM5" s="6" t="str">
        <f t="shared" ref="FM5" si="106">TEXT(FM6,"ddd")</f>
        <v>Sun</v>
      </c>
      <c r="FN5" s="6" t="str">
        <f t="shared" ref="FN5" si="107">TEXT(FN6,"ddd")</f>
        <v>Mon</v>
      </c>
      <c r="FO5" s="6" t="str">
        <f t="shared" ref="FO5" si="108">TEXT(FO6,"ddd")</f>
        <v>Tue</v>
      </c>
      <c r="FP5" s="6" t="str">
        <f t="shared" ref="FP5" si="109">TEXT(FP6,"ddd")</f>
        <v>Wed</v>
      </c>
      <c r="FQ5" s="6" t="str">
        <f t="shared" ref="FQ5" si="110">TEXT(FQ6,"ddd")</f>
        <v>Thu</v>
      </c>
      <c r="FR5" s="6" t="str">
        <f t="shared" ref="FR5" si="111">TEXT(FR6,"ddd")</f>
        <v>Fri</v>
      </c>
      <c r="FS5" s="6" t="str">
        <f t="shared" ref="FS5" si="112">TEXT(FS6,"ddd")</f>
        <v>Sat</v>
      </c>
      <c r="FT5" s="6" t="str">
        <f t="shared" ref="FT5" si="113">TEXT(FT6,"ddd")</f>
        <v>Sun</v>
      </c>
      <c r="FU5" s="6" t="str">
        <f t="shared" ref="FU5" si="114">TEXT(FU6,"ddd")</f>
        <v>Mon</v>
      </c>
      <c r="FV5" s="6" t="str">
        <f t="shared" ref="FV5" si="115">TEXT(FV6,"ddd")</f>
        <v>Tue</v>
      </c>
      <c r="FW5" s="6" t="str">
        <f t="shared" ref="FW5" si="116">TEXT(FW6,"ddd")</f>
        <v>Wed</v>
      </c>
      <c r="FX5" s="6" t="str">
        <f t="shared" ref="FX5" si="117">TEXT(FX6,"ddd")</f>
        <v>Thu</v>
      </c>
      <c r="GA5" s="7"/>
      <c r="GB5" s="7"/>
      <c r="GC5" s="7"/>
      <c r="GD5" s="7"/>
      <c r="GE5" s="6" t="str">
        <f>TEXT(GE6,"ddd")</f>
        <v>Fri</v>
      </c>
      <c r="GF5" s="6" t="str">
        <f t="shared" ref="GF5" si="118">TEXT(GF6,"ddd")</f>
        <v>Sat</v>
      </c>
      <c r="GG5" s="6" t="str">
        <f t="shared" ref="GG5" si="119">TEXT(GG6,"ddd")</f>
        <v>Sun</v>
      </c>
      <c r="GH5" s="6" t="str">
        <f t="shared" ref="GH5" si="120">TEXT(GH6,"ddd")</f>
        <v>Mon</v>
      </c>
      <c r="GI5" s="6" t="str">
        <f t="shared" ref="GI5" si="121">TEXT(GI6,"ddd")</f>
        <v>Tue</v>
      </c>
      <c r="GJ5" s="6" t="str">
        <f t="shared" ref="GJ5" si="122">TEXT(GJ6,"ddd")</f>
        <v>Wed</v>
      </c>
      <c r="GK5" s="6" t="str">
        <f t="shared" ref="GK5" si="123">TEXT(GK6,"ddd")</f>
        <v>Thu</v>
      </c>
      <c r="GL5" s="6" t="str">
        <f t="shared" ref="GL5" si="124">TEXT(GL6,"ddd")</f>
        <v>Fri</v>
      </c>
      <c r="GM5" s="6" t="str">
        <f t="shared" ref="GM5" si="125">TEXT(GM6,"ddd")</f>
        <v>Sat</v>
      </c>
      <c r="GN5" s="6" t="str">
        <f t="shared" ref="GN5" si="126">TEXT(GN6,"ddd")</f>
        <v>Sun</v>
      </c>
      <c r="GO5" s="6" t="str">
        <f t="shared" ref="GO5" si="127">TEXT(GO6,"ddd")</f>
        <v>Mon</v>
      </c>
      <c r="GP5" s="6" t="str">
        <f t="shared" ref="GP5" si="128">TEXT(GP6,"ddd")</f>
        <v>Tue</v>
      </c>
      <c r="GQ5" s="6" t="str">
        <f t="shared" ref="GQ5" si="129">TEXT(GQ6,"ddd")</f>
        <v>Wed</v>
      </c>
      <c r="GR5" s="6" t="str">
        <f t="shared" ref="GR5" si="130">TEXT(GR6,"ddd")</f>
        <v>Thu</v>
      </c>
      <c r="GS5" s="6" t="str">
        <f t="shared" ref="GS5" si="131">TEXT(GS6,"ddd")</f>
        <v>Fri</v>
      </c>
      <c r="GT5" s="6" t="str">
        <f t="shared" ref="GT5" si="132">TEXT(GT6,"ddd")</f>
        <v>Sat</v>
      </c>
      <c r="GU5" s="6" t="str">
        <f t="shared" ref="GU5" si="133">TEXT(GU6,"ddd")</f>
        <v>Sun</v>
      </c>
      <c r="GV5" s="6" t="str">
        <f t="shared" ref="GV5" si="134">TEXT(GV6,"ddd")</f>
        <v>Mon</v>
      </c>
      <c r="GW5" s="6" t="str">
        <f t="shared" ref="GW5" si="135">TEXT(GW6,"ddd")</f>
        <v>Tue</v>
      </c>
      <c r="GX5" s="6" t="str">
        <f t="shared" ref="GX5" si="136">TEXT(GX6,"ddd")</f>
        <v>Wed</v>
      </c>
      <c r="GY5" s="6" t="str">
        <f t="shared" ref="GY5" si="137">TEXT(GY6,"ddd")</f>
        <v>Thu</v>
      </c>
      <c r="GZ5" s="6" t="str">
        <f t="shared" ref="GZ5" si="138">TEXT(GZ6,"ddd")</f>
        <v>Fri</v>
      </c>
      <c r="HA5" s="6" t="str">
        <f t="shared" ref="HA5" si="139">TEXT(HA6,"ddd")</f>
        <v>Sat</v>
      </c>
      <c r="HB5" s="6" t="str">
        <f t="shared" ref="HB5" si="140">TEXT(HB6,"ddd")</f>
        <v>Sun</v>
      </c>
      <c r="HC5" s="6" t="str">
        <f t="shared" ref="HC5" si="141">TEXT(HC6,"ddd")</f>
        <v>Mon</v>
      </c>
      <c r="HD5" s="6" t="str">
        <f t="shared" ref="HD5" si="142">TEXT(HD6,"ddd")</f>
        <v>Tue</v>
      </c>
      <c r="HE5" s="6" t="str">
        <f t="shared" ref="HE5" si="143">TEXT(HE6,"ddd")</f>
        <v>Wed</v>
      </c>
      <c r="HF5" s="6" t="str">
        <f t="shared" ref="HF5" si="144">TEXT(HF6,"ddd")</f>
        <v>Thu</v>
      </c>
      <c r="HG5" s="6" t="str">
        <f t="shared" ref="HG5" si="145">TEXT(HG6,"ddd")</f>
        <v>Fri</v>
      </c>
      <c r="HH5" s="6" t="str">
        <f t="shared" ref="HH5" si="146">TEXT(HH6,"ddd")</f>
        <v>Sat</v>
      </c>
      <c r="HK5" s="7"/>
      <c r="HL5" s="7"/>
      <c r="HM5" s="7"/>
      <c r="HN5" s="7"/>
      <c r="HO5" s="6" t="str">
        <f>TEXT(HO6,"ddd")</f>
        <v>Sun</v>
      </c>
      <c r="HP5" s="6" t="str">
        <f t="shared" ref="HP5" si="147">TEXT(HP6,"ddd")</f>
        <v>Mon</v>
      </c>
      <c r="HQ5" s="6" t="str">
        <f t="shared" ref="HQ5" si="148">TEXT(HQ6,"ddd")</f>
        <v>Tue</v>
      </c>
      <c r="HR5" s="6" t="str">
        <f t="shared" ref="HR5" si="149">TEXT(HR6,"ddd")</f>
        <v>Wed</v>
      </c>
      <c r="HS5" s="6" t="str">
        <f t="shared" ref="HS5" si="150">TEXT(HS6,"ddd")</f>
        <v>Thu</v>
      </c>
      <c r="HT5" s="6" t="str">
        <f t="shared" ref="HT5" si="151">TEXT(HT6,"ddd")</f>
        <v>Fri</v>
      </c>
      <c r="HU5" s="6" t="str">
        <f t="shared" ref="HU5" si="152">TEXT(HU6,"ddd")</f>
        <v>Sat</v>
      </c>
      <c r="HV5" s="6" t="str">
        <f t="shared" ref="HV5" si="153">TEXT(HV6,"ddd")</f>
        <v>Sun</v>
      </c>
      <c r="HW5" s="6" t="str">
        <f t="shared" ref="HW5" si="154">TEXT(HW6,"ddd")</f>
        <v>Mon</v>
      </c>
      <c r="HX5" s="6" t="str">
        <f t="shared" ref="HX5" si="155">TEXT(HX6,"ddd")</f>
        <v>Tue</v>
      </c>
      <c r="HY5" s="6" t="str">
        <f t="shared" ref="HY5" si="156">TEXT(HY6,"ddd")</f>
        <v>Wed</v>
      </c>
      <c r="HZ5" s="6" t="str">
        <f t="shared" ref="HZ5" si="157">TEXT(HZ6,"ddd")</f>
        <v>Thu</v>
      </c>
      <c r="IA5" s="6" t="str">
        <f t="shared" ref="IA5" si="158">TEXT(IA6,"ddd")</f>
        <v>Fri</v>
      </c>
      <c r="IB5" s="6" t="str">
        <f t="shared" ref="IB5" si="159">TEXT(IB6,"ddd")</f>
        <v>Sat</v>
      </c>
      <c r="IC5" s="6" t="str">
        <f t="shared" ref="IC5" si="160">TEXT(IC6,"ddd")</f>
        <v>Sun</v>
      </c>
      <c r="ID5" s="6" t="str">
        <f t="shared" ref="ID5" si="161">TEXT(ID6,"ddd")</f>
        <v>Mon</v>
      </c>
      <c r="IE5" s="6" t="str">
        <f t="shared" ref="IE5" si="162">TEXT(IE6,"ddd")</f>
        <v>Tue</v>
      </c>
      <c r="IF5" s="6" t="str">
        <f t="shared" ref="IF5" si="163">TEXT(IF6,"ddd")</f>
        <v>Wed</v>
      </c>
      <c r="IG5" s="6" t="str">
        <f t="shared" ref="IG5" si="164">TEXT(IG6,"ddd")</f>
        <v>Thu</v>
      </c>
      <c r="IH5" s="6" t="str">
        <f t="shared" ref="IH5" si="165">TEXT(IH6,"ddd")</f>
        <v>Fri</v>
      </c>
      <c r="II5" s="6" t="str">
        <f t="shared" ref="II5" si="166">TEXT(II6,"ddd")</f>
        <v>Sat</v>
      </c>
      <c r="IJ5" s="6" t="str">
        <f t="shared" ref="IJ5" si="167">TEXT(IJ6,"ddd")</f>
        <v>Sun</v>
      </c>
      <c r="IK5" s="6" t="str">
        <f t="shared" ref="IK5" si="168">TEXT(IK6,"ddd")</f>
        <v>Mon</v>
      </c>
      <c r="IL5" s="6" t="str">
        <f t="shared" ref="IL5" si="169">TEXT(IL6,"ddd")</f>
        <v>Tue</v>
      </c>
      <c r="IM5" s="6" t="str">
        <f t="shared" ref="IM5" si="170">TEXT(IM6,"ddd")</f>
        <v>Wed</v>
      </c>
      <c r="IN5" s="6" t="str">
        <f t="shared" ref="IN5" si="171">TEXT(IN6,"ddd")</f>
        <v>Thu</v>
      </c>
      <c r="IO5" s="6" t="str">
        <f t="shared" ref="IO5" si="172">TEXT(IO6,"ddd")</f>
        <v>Fri</v>
      </c>
      <c r="IP5" s="6" t="str">
        <f t="shared" ref="IP5" si="173">TEXT(IP6,"ddd")</f>
        <v>Sat</v>
      </c>
      <c r="IQ5" s="6" t="str">
        <f t="shared" ref="IQ5" si="174">TEXT(IQ6,"ddd")</f>
        <v>Sun</v>
      </c>
      <c r="IR5" s="6" t="str">
        <f t="shared" ref="IR5" si="175">TEXT(IR6,"ddd")</f>
        <v>Mon</v>
      </c>
      <c r="IS5" s="6" t="str">
        <f t="shared" ref="IS5" si="176">TEXT(IS6,"ddd")</f>
        <v>Tue</v>
      </c>
      <c r="IV5" s="7"/>
      <c r="IW5" s="7"/>
      <c r="IX5" s="7"/>
      <c r="IY5" s="7"/>
      <c r="IZ5" s="6" t="str">
        <f>TEXT(IZ6,"ddd")</f>
        <v>Wed</v>
      </c>
      <c r="JA5" s="6" t="str">
        <f t="shared" ref="JA5" si="177">TEXT(JA6,"ddd")</f>
        <v>Thu</v>
      </c>
      <c r="JB5" s="6" t="str">
        <f t="shared" ref="JB5" si="178">TEXT(JB6,"ddd")</f>
        <v>Fri</v>
      </c>
      <c r="JC5" s="6" t="str">
        <f t="shared" ref="JC5" si="179">TEXT(JC6,"ddd")</f>
        <v>Sat</v>
      </c>
      <c r="JD5" s="6" t="str">
        <f t="shared" ref="JD5" si="180">TEXT(JD6,"ddd")</f>
        <v>Sun</v>
      </c>
      <c r="JE5" s="6" t="str">
        <f t="shared" ref="JE5" si="181">TEXT(JE6,"ddd")</f>
        <v>Mon</v>
      </c>
      <c r="JF5" s="6" t="str">
        <f t="shared" ref="JF5" si="182">TEXT(JF6,"ddd")</f>
        <v>Tue</v>
      </c>
      <c r="JG5" s="6" t="str">
        <f t="shared" ref="JG5" si="183">TEXT(JG6,"ddd")</f>
        <v>Wed</v>
      </c>
      <c r="JH5" s="6" t="str">
        <f t="shared" ref="JH5" si="184">TEXT(JH6,"ddd")</f>
        <v>Thu</v>
      </c>
      <c r="JI5" s="6" t="str">
        <f t="shared" ref="JI5" si="185">TEXT(JI6,"ddd")</f>
        <v>Fri</v>
      </c>
      <c r="JJ5" s="6" t="str">
        <f t="shared" ref="JJ5" si="186">TEXT(JJ6,"ddd")</f>
        <v>Sat</v>
      </c>
      <c r="JK5" s="6" t="str">
        <f t="shared" ref="JK5" si="187">TEXT(JK6,"ddd")</f>
        <v>Sun</v>
      </c>
      <c r="JL5" s="6" t="str">
        <f t="shared" ref="JL5" si="188">TEXT(JL6,"ddd")</f>
        <v>Mon</v>
      </c>
      <c r="JM5" s="6" t="str">
        <f t="shared" ref="JM5" si="189">TEXT(JM6,"ddd")</f>
        <v>Tue</v>
      </c>
      <c r="JN5" s="6" t="str">
        <f t="shared" ref="JN5" si="190">TEXT(JN6,"ddd")</f>
        <v>Wed</v>
      </c>
      <c r="JO5" s="6" t="str">
        <f t="shared" ref="JO5" si="191">TEXT(JO6,"ddd")</f>
        <v>Thu</v>
      </c>
      <c r="JP5" s="6" t="str">
        <f t="shared" ref="JP5" si="192">TEXT(JP6,"ddd")</f>
        <v>Fri</v>
      </c>
      <c r="JQ5" s="6" t="str">
        <f t="shared" ref="JQ5" si="193">TEXT(JQ6,"ddd")</f>
        <v>Sat</v>
      </c>
      <c r="JR5" s="6" t="str">
        <f t="shared" ref="JR5" si="194">TEXT(JR6,"ddd")</f>
        <v>Sun</v>
      </c>
      <c r="JS5" s="6" t="str">
        <f t="shared" ref="JS5" si="195">TEXT(JS6,"ddd")</f>
        <v>Mon</v>
      </c>
      <c r="JT5" s="6" t="str">
        <f t="shared" ref="JT5" si="196">TEXT(JT6,"ddd")</f>
        <v>Tue</v>
      </c>
      <c r="JU5" s="6" t="str">
        <f t="shared" ref="JU5" si="197">TEXT(JU6,"ddd")</f>
        <v>Wed</v>
      </c>
      <c r="JV5" s="6" t="str">
        <f t="shared" ref="JV5" si="198">TEXT(JV6,"ddd")</f>
        <v>Thu</v>
      </c>
      <c r="JW5" s="6" t="str">
        <f t="shared" ref="JW5" si="199">TEXT(JW6,"ddd")</f>
        <v>Fri</v>
      </c>
      <c r="JX5" s="6" t="str">
        <f t="shared" ref="JX5" si="200">TEXT(JX6,"ddd")</f>
        <v>Sat</v>
      </c>
      <c r="JY5" s="6" t="str">
        <f t="shared" ref="JY5" si="201">TEXT(JY6,"ddd")</f>
        <v>Sun</v>
      </c>
      <c r="JZ5" s="6" t="str">
        <f t="shared" ref="JZ5" si="202">TEXT(JZ6,"ddd")</f>
        <v>Mon</v>
      </c>
      <c r="KA5" s="6" t="str">
        <f t="shared" ref="KA5" si="203">TEXT(KA6,"ddd")</f>
        <v>Tue</v>
      </c>
      <c r="KB5" s="6" t="str">
        <f t="shared" ref="KB5" si="204">TEXT(KB6,"ddd")</f>
        <v>Wed</v>
      </c>
      <c r="KC5" s="6" t="str">
        <f t="shared" ref="KC5" si="205">TEXT(KC6,"ddd")</f>
        <v>Thu</v>
      </c>
      <c r="KF5" s="7"/>
      <c r="KG5" s="7"/>
      <c r="KH5" s="7"/>
      <c r="KI5" s="7"/>
      <c r="KJ5" s="6" t="str">
        <f>TEXT(KJ6,"ddd")</f>
        <v>Fri</v>
      </c>
      <c r="KK5" s="6" t="str">
        <f t="shared" ref="KK5" si="206">TEXT(KK6,"ddd")</f>
        <v>Sat</v>
      </c>
      <c r="KL5" s="6" t="str">
        <f t="shared" ref="KL5" si="207">TEXT(KL6,"ddd")</f>
        <v>Sun</v>
      </c>
      <c r="KM5" s="6" t="str">
        <f t="shared" ref="KM5" si="208">TEXT(KM6,"ddd")</f>
        <v>Mon</v>
      </c>
      <c r="KN5" s="6" t="str">
        <f t="shared" ref="KN5" si="209">TEXT(KN6,"ddd")</f>
        <v>Tue</v>
      </c>
      <c r="KO5" s="6" t="str">
        <f t="shared" ref="KO5" si="210">TEXT(KO6,"ddd")</f>
        <v>Wed</v>
      </c>
      <c r="KP5" s="6" t="str">
        <f t="shared" ref="KP5" si="211">TEXT(KP6,"ddd")</f>
        <v>Thu</v>
      </c>
      <c r="KQ5" s="6" t="str">
        <f t="shared" ref="KQ5" si="212">TEXT(KQ6,"ddd")</f>
        <v>Fri</v>
      </c>
      <c r="KR5" s="6" t="str">
        <f t="shared" ref="KR5" si="213">TEXT(KR6,"ddd")</f>
        <v>Sat</v>
      </c>
      <c r="KS5" s="6" t="str">
        <f t="shared" ref="KS5" si="214">TEXT(KS6,"ddd")</f>
        <v>Sun</v>
      </c>
      <c r="KT5" s="6" t="str">
        <f t="shared" ref="KT5" si="215">TEXT(KT6,"ddd")</f>
        <v>Mon</v>
      </c>
      <c r="KU5" s="6" t="str">
        <f t="shared" ref="KU5" si="216">TEXT(KU6,"ddd")</f>
        <v>Tue</v>
      </c>
      <c r="KV5" s="6" t="str">
        <f t="shared" ref="KV5" si="217">TEXT(KV6,"ddd")</f>
        <v>Wed</v>
      </c>
      <c r="KW5" s="6" t="str">
        <f t="shared" ref="KW5" si="218">TEXT(KW6,"ddd")</f>
        <v>Thu</v>
      </c>
      <c r="KX5" s="6" t="str">
        <f t="shared" ref="KX5" si="219">TEXT(KX6,"ddd")</f>
        <v>Fri</v>
      </c>
      <c r="KY5" s="6" t="str">
        <f t="shared" ref="KY5" si="220">TEXT(KY6,"ddd")</f>
        <v>Sat</v>
      </c>
      <c r="KZ5" s="6" t="str">
        <f t="shared" ref="KZ5" si="221">TEXT(KZ6,"ddd")</f>
        <v>Sun</v>
      </c>
      <c r="LA5" s="6" t="str">
        <f t="shared" ref="LA5" si="222">TEXT(LA6,"ddd")</f>
        <v>Mon</v>
      </c>
      <c r="LB5" s="6" t="str">
        <f t="shared" ref="LB5" si="223">TEXT(LB6,"ddd")</f>
        <v>Tue</v>
      </c>
      <c r="LC5" s="6" t="str">
        <f t="shared" ref="LC5" si="224">TEXT(LC6,"ddd")</f>
        <v>Wed</v>
      </c>
      <c r="LD5" s="6" t="str">
        <f t="shared" ref="LD5" si="225">TEXT(LD6,"ddd")</f>
        <v>Thu</v>
      </c>
      <c r="LE5" s="6" t="str">
        <f t="shared" ref="LE5" si="226">TEXT(LE6,"ddd")</f>
        <v>Fri</v>
      </c>
      <c r="LF5" s="6" t="str">
        <f t="shared" ref="LF5" si="227">TEXT(LF6,"ddd")</f>
        <v>Sat</v>
      </c>
      <c r="LG5" s="6" t="str">
        <f t="shared" ref="LG5" si="228">TEXT(LG6,"ddd")</f>
        <v>Sun</v>
      </c>
      <c r="LH5" s="6" t="str">
        <f t="shared" ref="LH5" si="229">TEXT(LH6,"ddd")</f>
        <v>Mon</v>
      </c>
      <c r="LI5" s="6" t="str">
        <f t="shared" ref="LI5" si="230">TEXT(LI6,"ddd")</f>
        <v>Tue</v>
      </c>
      <c r="LJ5" s="6" t="str">
        <f t="shared" ref="LJ5" si="231">TEXT(LJ6,"ddd")</f>
        <v>Wed</v>
      </c>
      <c r="LK5" s="6" t="str">
        <f t="shared" ref="LK5" si="232">TEXT(LK6,"ddd")</f>
        <v>Thu</v>
      </c>
      <c r="LL5" s="6" t="str">
        <f t="shared" ref="LL5" si="233">TEXT(LL6,"ddd")</f>
        <v>Fri</v>
      </c>
      <c r="LM5" s="6" t="str">
        <f t="shared" ref="LM5" si="234">TEXT(LM6,"ddd")</f>
        <v>Sat</v>
      </c>
      <c r="LN5" s="6" t="str">
        <f t="shared" ref="LN5" si="235">TEXT(LN6,"ddd")</f>
        <v>Sun</v>
      </c>
      <c r="LQ5" s="7"/>
      <c r="LR5" s="7"/>
      <c r="LS5" s="7"/>
      <c r="LT5" s="7"/>
      <c r="LU5" s="6" t="str">
        <f>TEXT(LU6,"ddd")</f>
        <v>Mon</v>
      </c>
      <c r="LV5" s="6" t="str">
        <f t="shared" ref="LV5" si="236">TEXT(LV6,"ddd")</f>
        <v>Tue</v>
      </c>
      <c r="LW5" s="6" t="str">
        <f t="shared" ref="LW5" si="237">TEXT(LW6,"ddd")</f>
        <v>Wed</v>
      </c>
      <c r="LX5" s="6" t="str">
        <f t="shared" ref="LX5" si="238">TEXT(LX6,"ddd")</f>
        <v>Thu</v>
      </c>
      <c r="LY5" s="6" t="str">
        <f t="shared" ref="LY5" si="239">TEXT(LY6,"ddd")</f>
        <v>Fri</v>
      </c>
      <c r="LZ5" s="6" t="str">
        <f t="shared" ref="LZ5" si="240">TEXT(LZ6,"ddd")</f>
        <v>Sat</v>
      </c>
      <c r="MA5" s="6" t="str">
        <f t="shared" ref="MA5" si="241">TEXT(MA6,"ddd")</f>
        <v>Sun</v>
      </c>
      <c r="MB5" s="6" t="str">
        <f t="shared" ref="MB5" si="242">TEXT(MB6,"ddd")</f>
        <v>Mon</v>
      </c>
      <c r="MC5" s="6" t="str">
        <f t="shared" ref="MC5" si="243">TEXT(MC6,"ddd")</f>
        <v>Tue</v>
      </c>
      <c r="MD5" s="6" t="str">
        <f t="shared" ref="MD5" si="244">TEXT(MD6,"ddd")</f>
        <v>Wed</v>
      </c>
      <c r="ME5" s="6" t="str">
        <f t="shared" ref="ME5" si="245">TEXT(ME6,"ddd")</f>
        <v>Thu</v>
      </c>
      <c r="MF5" s="6" t="str">
        <f t="shared" ref="MF5" si="246">TEXT(MF6,"ddd")</f>
        <v>Fri</v>
      </c>
      <c r="MG5" s="6" t="str">
        <f t="shared" ref="MG5" si="247">TEXT(MG6,"ddd")</f>
        <v>Sat</v>
      </c>
      <c r="MH5" s="6" t="str">
        <f t="shared" ref="MH5" si="248">TEXT(MH6,"ddd")</f>
        <v>Sun</v>
      </c>
      <c r="MI5" s="6" t="str">
        <f t="shared" ref="MI5" si="249">TEXT(MI6,"ddd")</f>
        <v>Mon</v>
      </c>
      <c r="MJ5" s="6" t="str">
        <f t="shared" ref="MJ5" si="250">TEXT(MJ6,"ddd")</f>
        <v>Tue</v>
      </c>
      <c r="MK5" s="6" t="str">
        <f t="shared" ref="MK5" si="251">TEXT(MK6,"ddd")</f>
        <v>Wed</v>
      </c>
      <c r="ML5" s="6" t="str">
        <f t="shared" ref="ML5" si="252">TEXT(ML6,"ddd")</f>
        <v>Thu</v>
      </c>
      <c r="MM5" s="6" t="str">
        <f t="shared" ref="MM5" si="253">TEXT(MM6,"ddd")</f>
        <v>Fri</v>
      </c>
      <c r="MN5" s="6" t="str">
        <f t="shared" ref="MN5" si="254">TEXT(MN6,"ddd")</f>
        <v>Sat</v>
      </c>
      <c r="MO5" s="6" t="str">
        <f t="shared" ref="MO5" si="255">TEXT(MO6,"ddd")</f>
        <v>Sun</v>
      </c>
      <c r="MP5" s="6" t="str">
        <f t="shared" ref="MP5" si="256">TEXT(MP6,"ddd")</f>
        <v>Mon</v>
      </c>
      <c r="MQ5" s="6" t="str">
        <f t="shared" ref="MQ5" si="257">TEXT(MQ6,"ddd")</f>
        <v>Tue</v>
      </c>
      <c r="MR5" s="6" t="str">
        <f t="shared" ref="MR5" si="258">TEXT(MR6,"ddd")</f>
        <v>Wed</v>
      </c>
      <c r="MS5" s="6" t="str">
        <f t="shared" ref="MS5" si="259">TEXT(MS6,"ddd")</f>
        <v>Thu</v>
      </c>
      <c r="MT5" s="6" t="str">
        <f t="shared" ref="MT5" si="260">TEXT(MT6,"ddd")</f>
        <v>Fri</v>
      </c>
      <c r="MU5" s="6" t="str">
        <f t="shared" ref="MU5" si="261">TEXT(MU6,"ddd")</f>
        <v>Sat</v>
      </c>
      <c r="MV5" s="6" t="str">
        <f t="shared" ref="MV5" si="262">TEXT(MV6,"ddd")</f>
        <v>Sun</v>
      </c>
      <c r="MW5" s="6" t="str">
        <f t="shared" ref="MW5" si="263">TEXT(MW6,"ddd")</f>
        <v>Mon</v>
      </c>
      <c r="MX5" s="6" t="str">
        <f t="shared" ref="MX5" si="264">TEXT(MX6,"ddd")</f>
        <v>Tue</v>
      </c>
      <c r="MY5" s="6" t="str">
        <f t="shared" ref="MY5" si="265">TEXT(MY6,"ddd")</f>
        <v>Wed</v>
      </c>
      <c r="NB5" s="7"/>
      <c r="NC5" s="7"/>
      <c r="ND5" s="7"/>
      <c r="NE5" s="7"/>
      <c r="NF5" s="6" t="str">
        <f>TEXT(NF6,"ddd")</f>
        <v>Thu</v>
      </c>
      <c r="NG5" s="6" t="str">
        <f t="shared" ref="NG5" si="266">TEXT(NG6,"ddd")</f>
        <v>Fri</v>
      </c>
      <c r="NH5" s="6" t="str">
        <f t="shared" ref="NH5" si="267">TEXT(NH6,"ddd")</f>
        <v>Sat</v>
      </c>
      <c r="NI5" s="6" t="str">
        <f t="shared" ref="NI5" si="268">TEXT(NI6,"ddd")</f>
        <v>Sun</v>
      </c>
      <c r="NJ5" s="6" t="str">
        <f t="shared" ref="NJ5" si="269">TEXT(NJ6,"ddd")</f>
        <v>Mon</v>
      </c>
      <c r="NK5" s="6" t="str">
        <f t="shared" ref="NK5" si="270">TEXT(NK6,"ddd")</f>
        <v>Tue</v>
      </c>
      <c r="NL5" s="6" t="str">
        <f t="shared" ref="NL5" si="271">TEXT(NL6,"ddd")</f>
        <v>Wed</v>
      </c>
      <c r="NM5" s="6" t="str">
        <f t="shared" ref="NM5" si="272">TEXT(NM6,"ddd")</f>
        <v>Thu</v>
      </c>
      <c r="NN5" s="6" t="str">
        <f t="shared" ref="NN5" si="273">TEXT(NN6,"ddd")</f>
        <v>Fri</v>
      </c>
      <c r="NO5" s="6" t="str">
        <f t="shared" ref="NO5" si="274">TEXT(NO6,"ddd")</f>
        <v>Sat</v>
      </c>
      <c r="NP5" s="6" t="str">
        <f t="shared" ref="NP5" si="275">TEXT(NP6,"ddd")</f>
        <v>Sun</v>
      </c>
      <c r="NQ5" s="6" t="str">
        <f t="shared" ref="NQ5" si="276">TEXT(NQ6,"ddd")</f>
        <v>Mon</v>
      </c>
      <c r="NR5" s="6" t="str">
        <f t="shared" ref="NR5" si="277">TEXT(NR6,"ddd")</f>
        <v>Tue</v>
      </c>
      <c r="NS5" s="6" t="str">
        <f t="shared" ref="NS5" si="278">TEXT(NS6,"ddd")</f>
        <v>Wed</v>
      </c>
      <c r="NT5" s="6" t="str">
        <f t="shared" ref="NT5" si="279">TEXT(NT6,"ddd")</f>
        <v>Thu</v>
      </c>
      <c r="NU5" s="6" t="str">
        <f t="shared" ref="NU5" si="280">TEXT(NU6,"ddd")</f>
        <v>Fri</v>
      </c>
      <c r="NV5" s="6" t="str">
        <f t="shared" ref="NV5" si="281">TEXT(NV6,"ddd")</f>
        <v>Sat</v>
      </c>
      <c r="NW5" s="6" t="str">
        <f t="shared" ref="NW5" si="282">TEXT(NW6,"ddd")</f>
        <v>Sun</v>
      </c>
      <c r="NX5" s="6" t="str">
        <f t="shared" ref="NX5" si="283">TEXT(NX6,"ddd")</f>
        <v>Mon</v>
      </c>
      <c r="NY5" s="6" t="str">
        <f t="shared" ref="NY5" si="284">TEXT(NY6,"ddd")</f>
        <v>Tue</v>
      </c>
      <c r="NZ5" s="6" t="str">
        <f t="shared" ref="NZ5" si="285">TEXT(NZ6,"ddd")</f>
        <v>Wed</v>
      </c>
      <c r="OA5" s="6" t="str">
        <f t="shared" ref="OA5" si="286">TEXT(OA6,"ddd")</f>
        <v>Thu</v>
      </c>
      <c r="OB5" s="6" t="str">
        <f t="shared" ref="OB5" si="287">TEXT(OB6,"ddd")</f>
        <v>Fri</v>
      </c>
      <c r="OC5" s="6" t="str">
        <f t="shared" ref="OC5" si="288">TEXT(OC6,"ddd")</f>
        <v>Sat</v>
      </c>
      <c r="OD5" s="6" t="str">
        <f t="shared" ref="OD5" si="289">TEXT(OD6,"ddd")</f>
        <v>Sun</v>
      </c>
      <c r="OE5" s="6" t="str">
        <f t="shared" ref="OE5" si="290">TEXT(OE6,"ddd")</f>
        <v>Mon</v>
      </c>
      <c r="OF5" s="6" t="str">
        <f t="shared" ref="OF5" si="291">TEXT(OF6,"ddd")</f>
        <v>Tue</v>
      </c>
      <c r="OG5" s="6" t="str">
        <f t="shared" ref="OG5" si="292">TEXT(OG6,"ddd")</f>
        <v>Wed</v>
      </c>
      <c r="OJ5" s="7"/>
      <c r="OK5" s="7"/>
      <c r="OL5" s="7"/>
      <c r="OM5" s="7"/>
      <c r="ON5" s="6" t="str">
        <f>TEXT(ON6,"ddd")</f>
        <v>Fri</v>
      </c>
      <c r="OO5" s="6" t="str">
        <f t="shared" ref="OO5" si="293">TEXT(OO6,"ddd")</f>
        <v>Sat</v>
      </c>
      <c r="OP5" s="6" t="str">
        <f t="shared" ref="OP5" si="294">TEXT(OP6,"ddd")</f>
        <v>Sun</v>
      </c>
      <c r="OQ5" s="6" t="str">
        <f t="shared" ref="OQ5" si="295">TEXT(OQ6,"ddd")</f>
        <v>Mon</v>
      </c>
      <c r="OR5" s="6" t="str">
        <f t="shared" ref="OR5" si="296">TEXT(OR6,"ddd")</f>
        <v>Tue</v>
      </c>
      <c r="OS5" s="6" t="str">
        <f t="shared" ref="OS5" si="297">TEXT(OS6,"ddd")</f>
        <v>Wed</v>
      </c>
      <c r="OT5" s="6" t="str">
        <f t="shared" ref="OT5" si="298">TEXT(OT6,"ddd")</f>
        <v>Thu</v>
      </c>
      <c r="OU5" s="6" t="str">
        <f t="shared" ref="OU5" si="299">TEXT(OU6,"ddd")</f>
        <v>Fri</v>
      </c>
      <c r="OV5" s="6" t="str">
        <f t="shared" ref="OV5" si="300">TEXT(OV6,"ddd")</f>
        <v>Sat</v>
      </c>
      <c r="OW5" s="6" t="str">
        <f t="shared" ref="OW5" si="301">TEXT(OW6,"ddd")</f>
        <v>Sun</v>
      </c>
      <c r="OX5" s="6" t="str">
        <f t="shared" ref="OX5" si="302">TEXT(OX6,"ddd")</f>
        <v>Mon</v>
      </c>
      <c r="OY5" s="6" t="str">
        <f t="shared" ref="OY5" si="303">TEXT(OY6,"ddd")</f>
        <v>Tue</v>
      </c>
      <c r="OZ5" s="6" t="str">
        <f t="shared" ref="OZ5" si="304">TEXT(OZ6,"ddd")</f>
        <v>Wed</v>
      </c>
      <c r="PA5" s="6" t="str">
        <f t="shared" ref="PA5" si="305">TEXT(PA6,"ddd")</f>
        <v>Thu</v>
      </c>
      <c r="PB5" s="6" t="str">
        <f t="shared" ref="PB5" si="306">TEXT(PB6,"ddd")</f>
        <v>Fri</v>
      </c>
      <c r="PC5" s="6" t="str">
        <f t="shared" ref="PC5" si="307">TEXT(PC6,"ddd")</f>
        <v>Sat</v>
      </c>
      <c r="PD5" s="6" t="str">
        <f t="shared" ref="PD5" si="308">TEXT(PD6,"ddd")</f>
        <v>Sun</v>
      </c>
      <c r="PE5" s="6" t="str">
        <f t="shared" ref="PE5" si="309">TEXT(PE6,"ddd")</f>
        <v>Mon</v>
      </c>
      <c r="PF5" s="6" t="str">
        <f t="shared" ref="PF5" si="310">TEXT(PF6,"ddd")</f>
        <v>Tue</v>
      </c>
      <c r="PG5" s="6" t="str">
        <f t="shared" ref="PG5" si="311">TEXT(PG6,"ddd")</f>
        <v>Wed</v>
      </c>
      <c r="PH5" s="6" t="str">
        <f t="shared" ref="PH5" si="312">TEXT(PH6,"ddd")</f>
        <v>Thu</v>
      </c>
      <c r="PI5" s="6" t="str">
        <f t="shared" ref="PI5" si="313">TEXT(PI6,"ddd")</f>
        <v>Fri</v>
      </c>
      <c r="PJ5" s="6" t="str">
        <f t="shared" ref="PJ5" si="314">TEXT(PJ6,"ddd")</f>
        <v>Sat</v>
      </c>
      <c r="PK5" s="6" t="str">
        <f t="shared" ref="PK5" si="315">TEXT(PK6,"ddd")</f>
        <v>Sun</v>
      </c>
      <c r="PL5" s="6" t="str">
        <f t="shared" ref="PL5" si="316">TEXT(PL6,"ddd")</f>
        <v>Mon</v>
      </c>
      <c r="PM5" s="6" t="str">
        <f t="shared" ref="PM5" si="317">TEXT(PM6,"ddd")</f>
        <v>Tue</v>
      </c>
      <c r="PN5" s="6" t="str">
        <f t="shared" ref="PN5" si="318">TEXT(PN6,"ddd")</f>
        <v>Wed</v>
      </c>
      <c r="PO5" s="6" t="str">
        <f t="shared" ref="PO5" si="319">TEXT(PO6,"ddd")</f>
        <v>Thu</v>
      </c>
      <c r="PP5" s="6" t="str">
        <f t="shared" ref="PP5" si="320">TEXT(PP6,"ddd")</f>
        <v>Fri</v>
      </c>
      <c r="PQ5" s="6" t="str">
        <f t="shared" ref="PQ5" si="321">TEXT(PQ6,"ddd")</f>
        <v>Sat</v>
      </c>
      <c r="PR5" s="6" t="str">
        <f t="shared" ref="PR5" si="322">TEXT(PR6,"ddd")</f>
        <v>Sun</v>
      </c>
    </row>
    <row r="6" spans="1:434" x14ac:dyDescent="0.25">
      <c r="A6" s="10"/>
      <c r="B6" s="10"/>
      <c r="C6" s="10"/>
      <c r="D6" s="10"/>
      <c r="E6" s="4">
        <f>DATE(Setting!B2,4,1)</f>
        <v>45017</v>
      </c>
      <c r="F6" s="4">
        <f>E6+1</f>
        <v>45018</v>
      </c>
      <c r="G6" s="4">
        <f t="shared" ref="G6:AH6" si="323">F6+1</f>
        <v>45019</v>
      </c>
      <c r="H6" s="4">
        <f t="shared" si="323"/>
        <v>45020</v>
      </c>
      <c r="I6" s="4">
        <f t="shared" si="323"/>
        <v>45021</v>
      </c>
      <c r="J6" s="4">
        <f t="shared" si="323"/>
        <v>45022</v>
      </c>
      <c r="K6" s="4">
        <f t="shared" si="323"/>
        <v>45023</v>
      </c>
      <c r="L6" s="4">
        <f t="shared" si="323"/>
        <v>45024</v>
      </c>
      <c r="M6" s="4">
        <f t="shared" si="323"/>
        <v>45025</v>
      </c>
      <c r="N6" s="4">
        <f t="shared" si="323"/>
        <v>45026</v>
      </c>
      <c r="O6" s="4">
        <f t="shared" si="323"/>
        <v>45027</v>
      </c>
      <c r="P6" s="4">
        <f t="shared" si="323"/>
        <v>45028</v>
      </c>
      <c r="Q6" s="4">
        <f t="shared" si="323"/>
        <v>45029</v>
      </c>
      <c r="R6" s="4">
        <f t="shared" si="323"/>
        <v>45030</v>
      </c>
      <c r="S6" s="4">
        <f t="shared" si="323"/>
        <v>45031</v>
      </c>
      <c r="T6" s="4">
        <f t="shared" si="323"/>
        <v>45032</v>
      </c>
      <c r="U6" s="4">
        <f t="shared" si="323"/>
        <v>45033</v>
      </c>
      <c r="V6" s="4">
        <f t="shared" si="323"/>
        <v>45034</v>
      </c>
      <c r="W6" s="4">
        <f t="shared" si="323"/>
        <v>45035</v>
      </c>
      <c r="X6" s="4">
        <f t="shared" si="323"/>
        <v>45036</v>
      </c>
      <c r="Y6" s="4">
        <f t="shared" si="323"/>
        <v>45037</v>
      </c>
      <c r="Z6" s="4">
        <f t="shared" si="323"/>
        <v>45038</v>
      </c>
      <c r="AA6" s="4">
        <f>Z6+1</f>
        <v>45039</v>
      </c>
      <c r="AB6" s="4">
        <f t="shared" si="323"/>
        <v>45040</v>
      </c>
      <c r="AC6" s="4">
        <f t="shared" si="323"/>
        <v>45041</v>
      </c>
      <c r="AD6" s="4">
        <f t="shared" si="323"/>
        <v>45042</v>
      </c>
      <c r="AE6" s="4">
        <f t="shared" si="323"/>
        <v>45043</v>
      </c>
      <c r="AF6" s="4">
        <f>AE6+1</f>
        <v>45044</v>
      </c>
      <c r="AG6" s="4">
        <f t="shared" si="323"/>
        <v>45045</v>
      </c>
      <c r="AH6" s="4">
        <f t="shared" si="323"/>
        <v>45046</v>
      </c>
      <c r="AI6" s="3"/>
      <c r="AK6" s="8" t="s">
        <v>48</v>
      </c>
      <c r="AL6" s="8" t="s">
        <v>1</v>
      </c>
      <c r="AM6" s="8" t="s">
        <v>2</v>
      </c>
      <c r="AN6" s="8" t="s">
        <v>57</v>
      </c>
      <c r="AO6" s="4">
        <f>DATE(Setting!B2,5,1)</f>
        <v>45047</v>
      </c>
      <c r="AP6" s="4">
        <f>AO6+1</f>
        <v>45048</v>
      </c>
      <c r="AQ6" s="4">
        <f t="shared" ref="AQ6:BO6" si="324">AP6+1</f>
        <v>45049</v>
      </c>
      <c r="AR6" s="4">
        <f t="shared" si="324"/>
        <v>45050</v>
      </c>
      <c r="AS6" s="4">
        <f t="shared" si="324"/>
        <v>45051</v>
      </c>
      <c r="AT6" s="4">
        <f t="shared" si="324"/>
        <v>45052</v>
      </c>
      <c r="AU6" s="4">
        <f t="shared" si="324"/>
        <v>45053</v>
      </c>
      <c r="AV6" s="4">
        <f t="shared" si="324"/>
        <v>45054</v>
      </c>
      <c r="AW6" s="4">
        <f t="shared" si="324"/>
        <v>45055</v>
      </c>
      <c r="AX6" s="4">
        <f t="shared" si="324"/>
        <v>45056</v>
      </c>
      <c r="AY6" s="4">
        <f t="shared" si="324"/>
        <v>45057</v>
      </c>
      <c r="AZ6" s="4">
        <f t="shared" si="324"/>
        <v>45058</v>
      </c>
      <c r="BA6" s="4">
        <f t="shared" si="324"/>
        <v>45059</v>
      </c>
      <c r="BB6" s="4">
        <f t="shared" si="324"/>
        <v>45060</v>
      </c>
      <c r="BC6" s="4">
        <f t="shared" si="324"/>
        <v>45061</v>
      </c>
      <c r="BD6" s="4">
        <f t="shared" si="324"/>
        <v>45062</v>
      </c>
      <c r="BE6" s="4">
        <f t="shared" si="324"/>
        <v>45063</v>
      </c>
      <c r="BF6" s="4">
        <f t="shared" si="324"/>
        <v>45064</v>
      </c>
      <c r="BG6" s="4">
        <f t="shared" si="324"/>
        <v>45065</v>
      </c>
      <c r="BH6" s="4">
        <f t="shared" si="324"/>
        <v>45066</v>
      </c>
      <c r="BI6" s="4">
        <f t="shared" si="324"/>
        <v>45067</v>
      </c>
      <c r="BJ6" s="4">
        <f t="shared" si="324"/>
        <v>45068</v>
      </c>
      <c r="BK6" s="4">
        <f t="shared" si="324"/>
        <v>45069</v>
      </c>
      <c r="BL6" s="4">
        <f t="shared" si="324"/>
        <v>45070</v>
      </c>
      <c r="BM6" s="4">
        <f t="shared" si="324"/>
        <v>45071</v>
      </c>
      <c r="BN6" s="4">
        <f t="shared" si="324"/>
        <v>45072</v>
      </c>
      <c r="BO6" s="4">
        <f t="shared" si="324"/>
        <v>45073</v>
      </c>
      <c r="BP6" s="4">
        <f>BO6+1</f>
        <v>45074</v>
      </c>
      <c r="BQ6" s="4">
        <f t="shared" ref="BQ6:BR6" si="325">BP6+1</f>
        <v>45075</v>
      </c>
      <c r="BR6" s="4">
        <f t="shared" si="325"/>
        <v>45076</v>
      </c>
      <c r="BS6" s="4">
        <f t="shared" ref="BS6" si="326">BR6+1</f>
        <v>45077</v>
      </c>
      <c r="BU6" s="8" t="s">
        <v>48</v>
      </c>
      <c r="BV6" s="8" t="s">
        <v>1</v>
      </c>
      <c r="BW6" s="8" t="s">
        <v>2</v>
      </c>
      <c r="BX6" s="8" t="s">
        <v>57</v>
      </c>
      <c r="BY6" s="4">
        <f>DATE(Setting!B2,6,1)</f>
        <v>45078</v>
      </c>
      <c r="BZ6" s="4">
        <f>BY6+1</f>
        <v>45079</v>
      </c>
      <c r="CA6" s="4">
        <f t="shared" ref="CA6:CY6" si="327">BZ6+1</f>
        <v>45080</v>
      </c>
      <c r="CB6" s="4">
        <f t="shared" si="327"/>
        <v>45081</v>
      </c>
      <c r="CC6" s="4">
        <f t="shared" si="327"/>
        <v>45082</v>
      </c>
      <c r="CD6" s="4">
        <f t="shared" si="327"/>
        <v>45083</v>
      </c>
      <c r="CE6" s="4">
        <f t="shared" si="327"/>
        <v>45084</v>
      </c>
      <c r="CF6" s="4">
        <f t="shared" si="327"/>
        <v>45085</v>
      </c>
      <c r="CG6" s="4">
        <f t="shared" si="327"/>
        <v>45086</v>
      </c>
      <c r="CH6" s="4">
        <f t="shared" si="327"/>
        <v>45087</v>
      </c>
      <c r="CI6" s="4">
        <f t="shared" si="327"/>
        <v>45088</v>
      </c>
      <c r="CJ6" s="4">
        <f t="shared" si="327"/>
        <v>45089</v>
      </c>
      <c r="CK6" s="4">
        <f t="shared" si="327"/>
        <v>45090</v>
      </c>
      <c r="CL6" s="4">
        <f t="shared" si="327"/>
        <v>45091</v>
      </c>
      <c r="CM6" s="4">
        <f t="shared" si="327"/>
        <v>45092</v>
      </c>
      <c r="CN6" s="4">
        <f t="shared" si="327"/>
        <v>45093</v>
      </c>
      <c r="CO6" s="4">
        <f t="shared" si="327"/>
        <v>45094</v>
      </c>
      <c r="CP6" s="4">
        <f t="shared" si="327"/>
        <v>45095</v>
      </c>
      <c r="CQ6" s="4">
        <f t="shared" si="327"/>
        <v>45096</v>
      </c>
      <c r="CR6" s="4">
        <f t="shared" si="327"/>
        <v>45097</v>
      </c>
      <c r="CS6" s="4">
        <f t="shared" si="327"/>
        <v>45098</v>
      </c>
      <c r="CT6" s="4">
        <f t="shared" si="327"/>
        <v>45099</v>
      </c>
      <c r="CU6" s="4">
        <f t="shared" si="327"/>
        <v>45100</v>
      </c>
      <c r="CV6" s="4">
        <f t="shared" si="327"/>
        <v>45101</v>
      </c>
      <c r="CW6" s="4">
        <f t="shared" si="327"/>
        <v>45102</v>
      </c>
      <c r="CX6" s="4">
        <f t="shared" si="327"/>
        <v>45103</v>
      </c>
      <c r="CY6" s="4">
        <f t="shared" si="327"/>
        <v>45104</v>
      </c>
      <c r="CZ6" s="4">
        <f>CY6+1</f>
        <v>45105</v>
      </c>
      <c r="DA6" s="4">
        <f t="shared" ref="DA6:DB6" si="328">CZ6+1</f>
        <v>45106</v>
      </c>
      <c r="DB6" s="4">
        <f t="shared" si="328"/>
        <v>45107</v>
      </c>
      <c r="DE6" s="8" t="s">
        <v>48</v>
      </c>
      <c r="DF6" s="8" t="s">
        <v>1</v>
      </c>
      <c r="DG6" s="8" t="s">
        <v>2</v>
      </c>
      <c r="DH6" s="8" t="s">
        <v>57</v>
      </c>
      <c r="DI6" s="4">
        <f>DATE(Setting!B2,7,1)</f>
        <v>45108</v>
      </c>
      <c r="DJ6" s="4">
        <f>DI6+1</f>
        <v>45109</v>
      </c>
      <c r="DK6" s="4">
        <f t="shared" ref="DK6:EI6" si="329">DJ6+1</f>
        <v>45110</v>
      </c>
      <c r="DL6" s="4">
        <f t="shared" si="329"/>
        <v>45111</v>
      </c>
      <c r="DM6" s="4">
        <f t="shared" si="329"/>
        <v>45112</v>
      </c>
      <c r="DN6" s="4">
        <f t="shared" si="329"/>
        <v>45113</v>
      </c>
      <c r="DO6" s="4">
        <f t="shared" si="329"/>
        <v>45114</v>
      </c>
      <c r="DP6" s="4">
        <f t="shared" si="329"/>
        <v>45115</v>
      </c>
      <c r="DQ6" s="4">
        <f t="shared" si="329"/>
        <v>45116</v>
      </c>
      <c r="DR6" s="4">
        <f t="shared" si="329"/>
        <v>45117</v>
      </c>
      <c r="DS6" s="4">
        <f t="shared" si="329"/>
        <v>45118</v>
      </c>
      <c r="DT6" s="4">
        <f t="shared" si="329"/>
        <v>45119</v>
      </c>
      <c r="DU6" s="4">
        <f t="shared" si="329"/>
        <v>45120</v>
      </c>
      <c r="DV6" s="4">
        <f t="shared" si="329"/>
        <v>45121</v>
      </c>
      <c r="DW6" s="4">
        <f t="shared" si="329"/>
        <v>45122</v>
      </c>
      <c r="DX6" s="4">
        <f t="shared" si="329"/>
        <v>45123</v>
      </c>
      <c r="DY6" s="4">
        <f t="shared" si="329"/>
        <v>45124</v>
      </c>
      <c r="DZ6" s="4">
        <f t="shared" si="329"/>
        <v>45125</v>
      </c>
      <c r="EA6" s="4">
        <f t="shared" si="329"/>
        <v>45126</v>
      </c>
      <c r="EB6" s="4">
        <f t="shared" si="329"/>
        <v>45127</v>
      </c>
      <c r="EC6" s="4">
        <f t="shared" si="329"/>
        <v>45128</v>
      </c>
      <c r="ED6" s="4">
        <f t="shared" si="329"/>
        <v>45129</v>
      </c>
      <c r="EE6" s="4">
        <f t="shared" si="329"/>
        <v>45130</v>
      </c>
      <c r="EF6" s="4">
        <f t="shared" si="329"/>
        <v>45131</v>
      </c>
      <c r="EG6" s="4">
        <f t="shared" si="329"/>
        <v>45132</v>
      </c>
      <c r="EH6" s="4">
        <f t="shared" si="329"/>
        <v>45133</v>
      </c>
      <c r="EI6" s="4">
        <f t="shared" si="329"/>
        <v>45134</v>
      </c>
      <c r="EJ6" s="4">
        <f>EI6+1</f>
        <v>45135</v>
      </c>
      <c r="EK6" s="4">
        <f t="shared" ref="EK6:EL6" si="330">EJ6+1</f>
        <v>45136</v>
      </c>
      <c r="EL6" s="4">
        <f t="shared" si="330"/>
        <v>45137</v>
      </c>
      <c r="EM6" s="4">
        <f t="shared" ref="EM6" si="331">EL6+1</f>
        <v>45138</v>
      </c>
      <c r="EP6" s="8" t="s">
        <v>48</v>
      </c>
      <c r="EQ6" s="8" t="s">
        <v>1</v>
      </c>
      <c r="ER6" s="8" t="s">
        <v>2</v>
      </c>
      <c r="ES6" s="8" t="s">
        <v>57</v>
      </c>
      <c r="ET6" s="4">
        <f>DATE(Setting!B2,8,1)</f>
        <v>45139</v>
      </c>
      <c r="EU6" s="4">
        <f>ET6+1</f>
        <v>45140</v>
      </c>
      <c r="EV6" s="4">
        <f t="shared" ref="EV6:FT6" si="332">EU6+1</f>
        <v>45141</v>
      </c>
      <c r="EW6" s="4">
        <f t="shared" si="332"/>
        <v>45142</v>
      </c>
      <c r="EX6" s="4">
        <f t="shared" si="332"/>
        <v>45143</v>
      </c>
      <c r="EY6" s="4">
        <f t="shared" si="332"/>
        <v>45144</v>
      </c>
      <c r="EZ6" s="4">
        <f t="shared" si="332"/>
        <v>45145</v>
      </c>
      <c r="FA6" s="4">
        <f t="shared" si="332"/>
        <v>45146</v>
      </c>
      <c r="FB6" s="4">
        <f t="shared" si="332"/>
        <v>45147</v>
      </c>
      <c r="FC6" s="4">
        <f t="shared" si="332"/>
        <v>45148</v>
      </c>
      <c r="FD6" s="4">
        <f t="shared" si="332"/>
        <v>45149</v>
      </c>
      <c r="FE6" s="4">
        <f t="shared" si="332"/>
        <v>45150</v>
      </c>
      <c r="FF6" s="4">
        <f t="shared" si="332"/>
        <v>45151</v>
      </c>
      <c r="FG6" s="4">
        <f t="shared" si="332"/>
        <v>45152</v>
      </c>
      <c r="FH6" s="4">
        <f t="shared" si="332"/>
        <v>45153</v>
      </c>
      <c r="FI6" s="4">
        <f t="shared" si="332"/>
        <v>45154</v>
      </c>
      <c r="FJ6" s="4">
        <f t="shared" si="332"/>
        <v>45155</v>
      </c>
      <c r="FK6" s="4">
        <f t="shared" si="332"/>
        <v>45156</v>
      </c>
      <c r="FL6" s="4">
        <f t="shared" si="332"/>
        <v>45157</v>
      </c>
      <c r="FM6" s="4">
        <f t="shared" si="332"/>
        <v>45158</v>
      </c>
      <c r="FN6" s="4">
        <f t="shared" si="332"/>
        <v>45159</v>
      </c>
      <c r="FO6" s="4">
        <f t="shared" si="332"/>
        <v>45160</v>
      </c>
      <c r="FP6" s="4">
        <f t="shared" si="332"/>
        <v>45161</v>
      </c>
      <c r="FQ6" s="4">
        <f t="shared" si="332"/>
        <v>45162</v>
      </c>
      <c r="FR6" s="4">
        <f t="shared" si="332"/>
        <v>45163</v>
      </c>
      <c r="FS6" s="4">
        <f t="shared" si="332"/>
        <v>45164</v>
      </c>
      <c r="FT6" s="4">
        <f t="shared" si="332"/>
        <v>45165</v>
      </c>
      <c r="FU6" s="4">
        <f>FT6+1</f>
        <v>45166</v>
      </c>
      <c r="FV6" s="4">
        <f t="shared" ref="FV6:FX6" si="333">FU6+1</f>
        <v>45167</v>
      </c>
      <c r="FW6" s="4">
        <f t="shared" si="333"/>
        <v>45168</v>
      </c>
      <c r="FX6" s="4">
        <f t="shared" si="333"/>
        <v>45169</v>
      </c>
      <c r="GA6" s="8" t="s">
        <v>48</v>
      </c>
      <c r="GB6" s="8" t="s">
        <v>1</v>
      </c>
      <c r="GC6" s="8" t="s">
        <v>2</v>
      </c>
      <c r="GD6" s="8" t="s">
        <v>57</v>
      </c>
      <c r="GE6" s="4">
        <f>DATE(Setting!B2,9,1)</f>
        <v>45170</v>
      </c>
      <c r="GF6" s="4">
        <f>GE6+1</f>
        <v>45171</v>
      </c>
      <c r="GG6" s="4">
        <f t="shared" ref="GG6:HE6" si="334">GF6+1</f>
        <v>45172</v>
      </c>
      <c r="GH6" s="4">
        <f t="shared" si="334"/>
        <v>45173</v>
      </c>
      <c r="GI6" s="4">
        <f t="shared" si="334"/>
        <v>45174</v>
      </c>
      <c r="GJ6" s="4">
        <f t="shared" si="334"/>
        <v>45175</v>
      </c>
      <c r="GK6" s="4">
        <f t="shared" si="334"/>
        <v>45176</v>
      </c>
      <c r="GL6" s="4">
        <f t="shared" si="334"/>
        <v>45177</v>
      </c>
      <c r="GM6" s="4">
        <f t="shared" si="334"/>
        <v>45178</v>
      </c>
      <c r="GN6" s="4">
        <f t="shared" si="334"/>
        <v>45179</v>
      </c>
      <c r="GO6" s="4">
        <f t="shared" si="334"/>
        <v>45180</v>
      </c>
      <c r="GP6" s="4">
        <f t="shared" si="334"/>
        <v>45181</v>
      </c>
      <c r="GQ6" s="4">
        <f t="shared" si="334"/>
        <v>45182</v>
      </c>
      <c r="GR6" s="4">
        <f t="shared" si="334"/>
        <v>45183</v>
      </c>
      <c r="GS6" s="4">
        <f t="shared" si="334"/>
        <v>45184</v>
      </c>
      <c r="GT6" s="4">
        <f t="shared" si="334"/>
        <v>45185</v>
      </c>
      <c r="GU6" s="4">
        <f t="shared" si="334"/>
        <v>45186</v>
      </c>
      <c r="GV6" s="4">
        <f t="shared" si="334"/>
        <v>45187</v>
      </c>
      <c r="GW6" s="4">
        <f t="shared" si="334"/>
        <v>45188</v>
      </c>
      <c r="GX6" s="4">
        <f t="shared" si="334"/>
        <v>45189</v>
      </c>
      <c r="GY6" s="4">
        <f t="shared" si="334"/>
        <v>45190</v>
      </c>
      <c r="GZ6" s="4">
        <f t="shared" si="334"/>
        <v>45191</v>
      </c>
      <c r="HA6" s="4">
        <f t="shared" si="334"/>
        <v>45192</v>
      </c>
      <c r="HB6" s="4">
        <f t="shared" si="334"/>
        <v>45193</v>
      </c>
      <c r="HC6" s="4">
        <f t="shared" si="334"/>
        <v>45194</v>
      </c>
      <c r="HD6" s="4">
        <f t="shared" si="334"/>
        <v>45195</v>
      </c>
      <c r="HE6" s="4">
        <f t="shared" si="334"/>
        <v>45196</v>
      </c>
      <c r="HF6" s="4">
        <f>HE6+1</f>
        <v>45197</v>
      </c>
      <c r="HG6" s="4">
        <f t="shared" ref="HG6:HH6" si="335">HF6+1</f>
        <v>45198</v>
      </c>
      <c r="HH6" s="4">
        <f t="shared" si="335"/>
        <v>45199</v>
      </c>
      <c r="HK6" s="8" t="s">
        <v>48</v>
      </c>
      <c r="HL6" s="8" t="s">
        <v>1</v>
      </c>
      <c r="HM6" s="8" t="s">
        <v>2</v>
      </c>
      <c r="HN6" s="8" t="s">
        <v>57</v>
      </c>
      <c r="HO6" s="4">
        <f>DATE(Setting!B2,10,1)</f>
        <v>45200</v>
      </c>
      <c r="HP6" s="4">
        <f>HO6+1</f>
        <v>45201</v>
      </c>
      <c r="HQ6" s="4">
        <f t="shared" ref="HQ6:IO6" si="336">HP6+1</f>
        <v>45202</v>
      </c>
      <c r="HR6" s="4">
        <f t="shared" si="336"/>
        <v>45203</v>
      </c>
      <c r="HS6" s="4">
        <f t="shared" si="336"/>
        <v>45204</v>
      </c>
      <c r="HT6" s="4">
        <f t="shared" si="336"/>
        <v>45205</v>
      </c>
      <c r="HU6" s="4">
        <f t="shared" si="336"/>
        <v>45206</v>
      </c>
      <c r="HV6" s="4">
        <f t="shared" si="336"/>
        <v>45207</v>
      </c>
      <c r="HW6" s="4">
        <f t="shared" si="336"/>
        <v>45208</v>
      </c>
      <c r="HX6" s="4">
        <f t="shared" si="336"/>
        <v>45209</v>
      </c>
      <c r="HY6" s="4">
        <f t="shared" si="336"/>
        <v>45210</v>
      </c>
      <c r="HZ6" s="4">
        <f t="shared" si="336"/>
        <v>45211</v>
      </c>
      <c r="IA6" s="4">
        <f t="shared" si="336"/>
        <v>45212</v>
      </c>
      <c r="IB6" s="4">
        <f t="shared" si="336"/>
        <v>45213</v>
      </c>
      <c r="IC6" s="4">
        <f t="shared" si="336"/>
        <v>45214</v>
      </c>
      <c r="ID6" s="4">
        <f t="shared" si="336"/>
        <v>45215</v>
      </c>
      <c r="IE6" s="4">
        <f t="shared" si="336"/>
        <v>45216</v>
      </c>
      <c r="IF6" s="4">
        <f t="shared" si="336"/>
        <v>45217</v>
      </c>
      <c r="IG6" s="4">
        <f t="shared" si="336"/>
        <v>45218</v>
      </c>
      <c r="IH6" s="4">
        <f t="shared" si="336"/>
        <v>45219</v>
      </c>
      <c r="II6" s="4">
        <f t="shared" si="336"/>
        <v>45220</v>
      </c>
      <c r="IJ6" s="4">
        <f t="shared" si="336"/>
        <v>45221</v>
      </c>
      <c r="IK6" s="4">
        <f t="shared" si="336"/>
        <v>45222</v>
      </c>
      <c r="IL6" s="4">
        <f t="shared" si="336"/>
        <v>45223</v>
      </c>
      <c r="IM6" s="4">
        <f t="shared" si="336"/>
        <v>45224</v>
      </c>
      <c r="IN6" s="4">
        <f t="shared" si="336"/>
        <v>45225</v>
      </c>
      <c r="IO6" s="4">
        <f t="shared" si="336"/>
        <v>45226</v>
      </c>
      <c r="IP6" s="4">
        <f>IO6+1</f>
        <v>45227</v>
      </c>
      <c r="IQ6" s="4">
        <f t="shared" ref="IQ6:IS6" si="337">IP6+1</f>
        <v>45228</v>
      </c>
      <c r="IR6" s="4">
        <f t="shared" si="337"/>
        <v>45229</v>
      </c>
      <c r="IS6" s="4">
        <f t="shared" si="337"/>
        <v>45230</v>
      </c>
      <c r="IV6" s="8" t="s">
        <v>48</v>
      </c>
      <c r="IW6" s="8" t="s">
        <v>1</v>
      </c>
      <c r="IX6" s="8" t="s">
        <v>2</v>
      </c>
      <c r="IY6" s="8" t="s">
        <v>57</v>
      </c>
      <c r="IZ6" s="4">
        <f>DATE(Setting!B2,11,1)</f>
        <v>45231</v>
      </c>
      <c r="JA6" s="4">
        <f>IZ6+1</f>
        <v>45232</v>
      </c>
      <c r="JB6" s="4">
        <f t="shared" ref="JB6:JZ6" si="338">JA6+1</f>
        <v>45233</v>
      </c>
      <c r="JC6" s="4">
        <f t="shared" si="338"/>
        <v>45234</v>
      </c>
      <c r="JD6" s="4">
        <f t="shared" si="338"/>
        <v>45235</v>
      </c>
      <c r="JE6" s="4">
        <f t="shared" si="338"/>
        <v>45236</v>
      </c>
      <c r="JF6" s="4">
        <f t="shared" si="338"/>
        <v>45237</v>
      </c>
      <c r="JG6" s="4">
        <f t="shared" si="338"/>
        <v>45238</v>
      </c>
      <c r="JH6" s="4">
        <f t="shared" si="338"/>
        <v>45239</v>
      </c>
      <c r="JI6" s="4">
        <f t="shared" si="338"/>
        <v>45240</v>
      </c>
      <c r="JJ6" s="4">
        <f t="shared" si="338"/>
        <v>45241</v>
      </c>
      <c r="JK6" s="4">
        <f t="shared" si="338"/>
        <v>45242</v>
      </c>
      <c r="JL6" s="4">
        <f t="shared" si="338"/>
        <v>45243</v>
      </c>
      <c r="JM6" s="4">
        <f t="shared" si="338"/>
        <v>45244</v>
      </c>
      <c r="JN6" s="4">
        <f t="shared" si="338"/>
        <v>45245</v>
      </c>
      <c r="JO6" s="4">
        <f t="shared" si="338"/>
        <v>45246</v>
      </c>
      <c r="JP6" s="4">
        <f t="shared" si="338"/>
        <v>45247</v>
      </c>
      <c r="JQ6" s="4">
        <f t="shared" si="338"/>
        <v>45248</v>
      </c>
      <c r="JR6" s="4">
        <f t="shared" si="338"/>
        <v>45249</v>
      </c>
      <c r="JS6" s="4">
        <f t="shared" si="338"/>
        <v>45250</v>
      </c>
      <c r="JT6" s="4">
        <f t="shared" si="338"/>
        <v>45251</v>
      </c>
      <c r="JU6" s="4">
        <f t="shared" si="338"/>
        <v>45252</v>
      </c>
      <c r="JV6" s="4">
        <f t="shared" si="338"/>
        <v>45253</v>
      </c>
      <c r="JW6" s="4">
        <f t="shared" si="338"/>
        <v>45254</v>
      </c>
      <c r="JX6" s="4">
        <f t="shared" si="338"/>
        <v>45255</v>
      </c>
      <c r="JY6" s="4">
        <f t="shared" si="338"/>
        <v>45256</v>
      </c>
      <c r="JZ6" s="4">
        <f t="shared" si="338"/>
        <v>45257</v>
      </c>
      <c r="KA6" s="4">
        <f>JZ6+1</f>
        <v>45258</v>
      </c>
      <c r="KB6" s="4">
        <f t="shared" ref="KB6:KC6" si="339">KA6+1</f>
        <v>45259</v>
      </c>
      <c r="KC6" s="4">
        <f t="shared" si="339"/>
        <v>45260</v>
      </c>
      <c r="KF6" s="8" t="s">
        <v>48</v>
      </c>
      <c r="KG6" s="8" t="s">
        <v>1</v>
      </c>
      <c r="KH6" s="8" t="s">
        <v>2</v>
      </c>
      <c r="KI6" s="8" t="s">
        <v>57</v>
      </c>
      <c r="KJ6" s="4">
        <f>DATE(Setting!B2,12,1)</f>
        <v>45261</v>
      </c>
      <c r="KK6" s="4">
        <f>KJ6+1</f>
        <v>45262</v>
      </c>
      <c r="KL6" s="4">
        <f t="shared" ref="KL6:LJ6" si="340">KK6+1</f>
        <v>45263</v>
      </c>
      <c r="KM6" s="4">
        <f t="shared" si="340"/>
        <v>45264</v>
      </c>
      <c r="KN6" s="4">
        <f t="shared" si="340"/>
        <v>45265</v>
      </c>
      <c r="KO6" s="4">
        <f t="shared" si="340"/>
        <v>45266</v>
      </c>
      <c r="KP6" s="4">
        <f t="shared" si="340"/>
        <v>45267</v>
      </c>
      <c r="KQ6" s="4">
        <f t="shared" si="340"/>
        <v>45268</v>
      </c>
      <c r="KR6" s="4">
        <f t="shared" si="340"/>
        <v>45269</v>
      </c>
      <c r="KS6" s="4">
        <f t="shared" si="340"/>
        <v>45270</v>
      </c>
      <c r="KT6" s="4">
        <f t="shared" si="340"/>
        <v>45271</v>
      </c>
      <c r="KU6" s="4">
        <f t="shared" si="340"/>
        <v>45272</v>
      </c>
      <c r="KV6" s="4">
        <f t="shared" si="340"/>
        <v>45273</v>
      </c>
      <c r="KW6" s="4">
        <f t="shared" si="340"/>
        <v>45274</v>
      </c>
      <c r="KX6" s="4">
        <f t="shared" si="340"/>
        <v>45275</v>
      </c>
      <c r="KY6" s="4">
        <f t="shared" si="340"/>
        <v>45276</v>
      </c>
      <c r="KZ6" s="4">
        <f t="shared" si="340"/>
        <v>45277</v>
      </c>
      <c r="LA6" s="4">
        <f t="shared" si="340"/>
        <v>45278</v>
      </c>
      <c r="LB6" s="4">
        <f t="shared" si="340"/>
        <v>45279</v>
      </c>
      <c r="LC6" s="4">
        <f t="shared" si="340"/>
        <v>45280</v>
      </c>
      <c r="LD6" s="4">
        <f t="shared" si="340"/>
        <v>45281</v>
      </c>
      <c r="LE6" s="4">
        <f t="shared" si="340"/>
        <v>45282</v>
      </c>
      <c r="LF6" s="4">
        <f t="shared" si="340"/>
        <v>45283</v>
      </c>
      <c r="LG6" s="4">
        <f t="shared" si="340"/>
        <v>45284</v>
      </c>
      <c r="LH6" s="4">
        <f t="shared" si="340"/>
        <v>45285</v>
      </c>
      <c r="LI6" s="4">
        <f t="shared" si="340"/>
        <v>45286</v>
      </c>
      <c r="LJ6" s="4">
        <f t="shared" si="340"/>
        <v>45287</v>
      </c>
      <c r="LK6" s="4">
        <f>LJ6+1</f>
        <v>45288</v>
      </c>
      <c r="LL6" s="4">
        <f t="shared" ref="LL6:LN6" si="341">LK6+1</f>
        <v>45289</v>
      </c>
      <c r="LM6" s="4">
        <f t="shared" si="341"/>
        <v>45290</v>
      </c>
      <c r="LN6" s="4">
        <f t="shared" si="341"/>
        <v>45291</v>
      </c>
      <c r="LQ6" s="8" t="s">
        <v>48</v>
      </c>
      <c r="LR6" s="8" t="s">
        <v>1</v>
      </c>
      <c r="LS6" s="8" t="s">
        <v>2</v>
      </c>
      <c r="LT6" s="8" t="s">
        <v>57</v>
      </c>
      <c r="LU6" s="4">
        <f>DATE(Setting!B2+1,1,1)</f>
        <v>45292</v>
      </c>
      <c r="LV6" s="4">
        <f>LU6+1</f>
        <v>45293</v>
      </c>
      <c r="LW6" s="4">
        <f t="shared" ref="LW6:MU6" si="342">LV6+1</f>
        <v>45294</v>
      </c>
      <c r="LX6" s="4">
        <f t="shared" si="342"/>
        <v>45295</v>
      </c>
      <c r="LY6" s="4">
        <f t="shared" si="342"/>
        <v>45296</v>
      </c>
      <c r="LZ6" s="4">
        <f t="shared" si="342"/>
        <v>45297</v>
      </c>
      <c r="MA6" s="4">
        <f t="shared" si="342"/>
        <v>45298</v>
      </c>
      <c r="MB6" s="4">
        <f t="shared" si="342"/>
        <v>45299</v>
      </c>
      <c r="MC6" s="4">
        <f t="shared" si="342"/>
        <v>45300</v>
      </c>
      <c r="MD6" s="4">
        <f t="shared" si="342"/>
        <v>45301</v>
      </c>
      <c r="ME6" s="4">
        <f t="shared" si="342"/>
        <v>45302</v>
      </c>
      <c r="MF6" s="4">
        <f t="shared" si="342"/>
        <v>45303</v>
      </c>
      <c r="MG6" s="4">
        <f t="shared" si="342"/>
        <v>45304</v>
      </c>
      <c r="MH6" s="4">
        <f t="shared" si="342"/>
        <v>45305</v>
      </c>
      <c r="MI6" s="4">
        <f t="shared" si="342"/>
        <v>45306</v>
      </c>
      <c r="MJ6" s="4">
        <f t="shared" si="342"/>
        <v>45307</v>
      </c>
      <c r="MK6" s="4">
        <f t="shared" si="342"/>
        <v>45308</v>
      </c>
      <c r="ML6" s="4">
        <f t="shared" si="342"/>
        <v>45309</v>
      </c>
      <c r="MM6" s="4">
        <f t="shared" si="342"/>
        <v>45310</v>
      </c>
      <c r="MN6" s="4">
        <f t="shared" si="342"/>
        <v>45311</v>
      </c>
      <c r="MO6" s="4">
        <f t="shared" si="342"/>
        <v>45312</v>
      </c>
      <c r="MP6" s="4">
        <f t="shared" si="342"/>
        <v>45313</v>
      </c>
      <c r="MQ6" s="4">
        <f t="shared" si="342"/>
        <v>45314</v>
      </c>
      <c r="MR6" s="4">
        <f t="shared" si="342"/>
        <v>45315</v>
      </c>
      <c r="MS6" s="4">
        <f t="shared" si="342"/>
        <v>45316</v>
      </c>
      <c r="MT6" s="4">
        <f t="shared" si="342"/>
        <v>45317</v>
      </c>
      <c r="MU6" s="4">
        <f t="shared" si="342"/>
        <v>45318</v>
      </c>
      <c r="MV6" s="4">
        <f>MU6+1</f>
        <v>45319</v>
      </c>
      <c r="MW6" s="4">
        <f t="shared" ref="MW6:MY6" si="343">MV6+1</f>
        <v>45320</v>
      </c>
      <c r="MX6" s="4">
        <f t="shared" si="343"/>
        <v>45321</v>
      </c>
      <c r="MY6" s="4">
        <f t="shared" si="343"/>
        <v>45322</v>
      </c>
      <c r="NB6" s="8" t="s">
        <v>48</v>
      </c>
      <c r="NC6" s="8" t="s">
        <v>1</v>
      </c>
      <c r="ND6" s="8" t="s">
        <v>2</v>
      </c>
      <c r="NE6" s="8" t="s">
        <v>57</v>
      </c>
      <c r="NF6" s="4">
        <f>DATE(Setting!B2+1,2,1)</f>
        <v>45323</v>
      </c>
      <c r="NG6" s="4">
        <f>NF6+1</f>
        <v>45324</v>
      </c>
      <c r="NH6" s="4">
        <f t="shared" ref="NH6:OF6" si="344">NG6+1</f>
        <v>45325</v>
      </c>
      <c r="NI6" s="4">
        <f t="shared" si="344"/>
        <v>45326</v>
      </c>
      <c r="NJ6" s="4">
        <f t="shared" si="344"/>
        <v>45327</v>
      </c>
      <c r="NK6" s="4">
        <f t="shared" si="344"/>
        <v>45328</v>
      </c>
      <c r="NL6" s="4">
        <f t="shared" si="344"/>
        <v>45329</v>
      </c>
      <c r="NM6" s="4">
        <f t="shared" si="344"/>
        <v>45330</v>
      </c>
      <c r="NN6" s="4">
        <f t="shared" si="344"/>
        <v>45331</v>
      </c>
      <c r="NO6" s="4">
        <f t="shared" si="344"/>
        <v>45332</v>
      </c>
      <c r="NP6" s="4">
        <f t="shared" si="344"/>
        <v>45333</v>
      </c>
      <c r="NQ6" s="4">
        <f t="shared" si="344"/>
        <v>45334</v>
      </c>
      <c r="NR6" s="4">
        <f t="shared" si="344"/>
        <v>45335</v>
      </c>
      <c r="NS6" s="4">
        <f t="shared" si="344"/>
        <v>45336</v>
      </c>
      <c r="NT6" s="4">
        <f t="shared" si="344"/>
        <v>45337</v>
      </c>
      <c r="NU6" s="4">
        <f t="shared" si="344"/>
        <v>45338</v>
      </c>
      <c r="NV6" s="4">
        <f t="shared" si="344"/>
        <v>45339</v>
      </c>
      <c r="NW6" s="4">
        <f t="shared" si="344"/>
        <v>45340</v>
      </c>
      <c r="NX6" s="4">
        <f t="shared" si="344"/>
        <v>45341</v>
      </c>
      <c r="NY6" s="4">
        <f t="shared" si="344"/>
        <v>45342</v>
      </c>
      <c r="NZ6" s="4">
        <f t="shared" si="344"/>
        <v>45343</v>
      </c>
      <c r="OA6" s="4">
        <f t="shared" si="344"/>
        <v>45344</v>
      </c>
      <c r="OB6" s="4">
        <f t="shared" si="344"/>
        <v>45345</v>
      </c>
      <c r="OC6" s="4">
        <f t="shared" si="344"/>
        <v>45346</v>
      </c>
      <c r="OD6" s="4">
        <f t="shared" si="344"/>
        <v>45347</v>
      </c>
      <c r="OE6" s="4">
        <f t="shared" si="344"/>
        <v>45348</v>
      </c>
      <c r="OF6" s="4">
        <f t="shared" si="344"/>
        <v>45349</v>
      </c>
      <c r="OG6" s="4">
        <f>OF6+1</f>
        <v>45350</v>
      </c>
      <c r="OJ6" s="8" t="s">
        <v>48</v>
      </c>
      <c r="OK6" s="8" t="s">
        <v>1</v>
      </c>
      <c r="OL6" s="8" t="s">
        <v>2</v>
      </c>
      <c r="OM6" s="8" t="s">
        <v>57</v>
      </c>
      <c r="ON6" s="4">
        <f>DATE(Setting!B2+1,3,1)</f>
        <v>45352</v>
      </c>
      <c r="OO6" s="4">
        <f>ON6+1</f>
        <v>45353</v>
      </c>
      <c r="OP6" s="4">
        <f t="shared" ref="OP6:PN6" si="345">OO6+1</f>
        <v>45354</v>
      </c>
      <c r="OQ6" s="4">
        <f t="shared" si="345"/>
        <v>45355</v>
      </c>
      <c r="OR6" s="4">
        <f t="shared" si="345"/>
        <v>45356</v>
      </c>
      <c r="OS6" s="4">
        <f t="shared" si="345"/>
        <v>45357</v>
      </c>
      <c r="OT6" s="4">
        <f t="shared" si="345"/>
        <v>45358</v>
      </c>
      <c r="OU6" s="4">
        <f t="shared" si="345"/>
        <v>45359</v>
      </c>
      <c r="OV6" s="4">
        <f t="shared" si="345"/>
        <v>45360</v>
      </c>
      <c r="OW6" s="4">
        <f t="shared" si="345"/>
        <v>45361</v>
      </c>
      <c r="OX6" s="4">
        <f t="shared" si="345"/>
        <v>45362</v>
      </c>
      <c r="OY6" s="4">
        <f t="shared" si="345"/>
        <v>45363</v>
      </c>
      <c r="OZ6" s="4">
        <f t="shared" si="345"/>
        <v>45364</v>
      </c>
      <c r="PA6" s="4">
        <f t="shared" si="345"/>
        <v>45365</v>
      </c>
      <c r="PB6" s="4">
        <f t="shared" si="345"/>
        <v>45366</v>
      </c>
      <c r="PC6" s="4">
        <f t="shared" si="345"/>
        <v>45367</v>
      </c>
      <c r="PD6" s="4">
        <f t="shared" si="345"/>
        <v>45368</v>
      </c>
      <c r="PE6" s="4">
        <f t="shared" si="345"/>
        <v>45369</v>
      </c>
      <c r="PF6" s="4">
        <f t="shared" si="345"/>
        <v>45370</v>
      </c>
      <c r="PG6" s="4">
        <f t="shared" si="345"/>
        <v>45371</v>
      </c>
      <c r="PH6" s="4">
        <f t="shared" si="345"/>
        <v>45372</v>
      </c>
      <c r="PI6" s="4">
        <f t="shared" si="345"/>
        <v>45373</v>
      </c>
      <c r="PJ6" s="4">
        <f t="shared" si="345"/>
        <v>45374</v>
      </c>
      <c r="PK6" s="4">
        <f t="shared" si="345"/>
        <v>45375</v>
      </c>
      <c r="PL6" s="4">
        <f t="shared" si="345"/>
        <v>45376</v>
      </c>
      <c r="PM6" s="4">
        <f t="shared" si="345"/>
        <v>45377</v>
      </c>
      <c r="PN6" s="4">
        <f t="shared" si="345"/>
        <v>45378</v>
      </c>
      <c r="PO6" s="4">
        <f>PN6+1</f>
        <v>45379</v>
      </c>
      <c r="PP6" s="4">
        <f t="shared" ref="PP6:PR6" si="346">PO6+1</f>
        <v>45380</v>
      </c>
      <c r="PQ6" s="4">
        <f t="shared" si="346"/>
        <v>45381</v>
      </c>
      <c r="PR6" s="4">
        <f t="shared" si="346"/>
        <v>45382</v>
      </c>
    </row>
    <row r="7" spans="1:434" x14ac:dyDescent="0.25">
      <c r="A7" s="7">
        <f>Setting!A5</f>
        <v>1</v>
      </c>
      <c r="B7" s="7" t="str">
        <f>Setting!B5</f>
        <v>Anika</v>
      </c>
      <c r="C7" s="7" t="str">
        <f>Setting!C5</f>
        <v>Manager</v>
      </c>
      <c r="D7" s="7" t="str">
        <f>Setting!D5</f>
        <v>F</v>
      </c>
      <c r="E7" s="1" t="s">
        <v>51</v>
      </c>
      <c r="F7" s="1" t="s">
        <v>51</v>
      </c>
      <c r="G7" s="1" t="s">
        <v>49</v>
      </c>
      <c r="H7" s="1" t="s">
        <v>49</v>
      </c>
      <c r="I7" s="1" t="s">
        <v>49</v>
      </c>
      <c r="J7" s="1" t="s">
        <v>49</v>
      </c>
      <c r="K7" s="1" t="s">
        <v>49</v>
      </c>
      <c r="L7" s="1" t="s">
        <v>51</v>
      </c>
      <c r="M7" s="1" t="s">
        <v>51</v>
      </c>
      <c r="N7" s="1" t="s">
        <v>50</v>
      </c>
      <c r="O7" s="1" t="s">
        <v>50</v>
      </c>
      <c r="P7" s="1" t="s">
        <v>49</v>
      </c>
      <c r="Q7" s="1" t="s">
        <v>49</v>
      </c>
      <c r="R7" s="1" t="s">
        <v>49</v>
      </c>
      <c r="S7" s="1" t="s">
        <v>51</v>
      </c>
      <c r="T7" s="1" t="s">
        <v>51</v>
      </c>
      <c r="U7" s="1" t="s">
        <v>50</v>
      </c>
      <c r="V7" s="1" t="s">
        <v>49</v>
      </c>
      <c r="W7" s="1" t="s">
        <v>49</v>
      </c>
      <c r="X7" s="1" t="s">
        <v>49</v>
      </c>
      <c r="Y7" s="1" t="s">
        <v>49</v>
      </c>
      <c r="Z7" s="1" t="s">
        <v>51</v>
      </c>
      <c r="AA7" s="1" t="s">
        <v>51</v>
      </c>
      <c r="AB7" s="1" t="s">
        <v>52</v>
      </c>
      <c r="AC7" s="1" t="s">
        <v>50</v>
      </c>
      <c r="AD7" s="1" t="s">
        <v>52</v>
      </c>
      <c r="AE7" s="1" t="s">
        <v>49</v>
      </c>
      <c r="AF7" s="1" t="s">
        <v>49</v>
      </c>
      <c r="AG7" s="1" t="s">
        <v>51</v>
      </c>
      <c r="AH7" s="1" t="s">
        <v>51</v>
      </c>
      <c r="AK7" s="7">
        <f>A7</f>
        <v>1</v>
      </c>
      <c r="AL7" s="7" t="str">
        <f>B7</f>
        <v>Anika</v>
      </c>
      <c r="AM7" s="7" t="str">
        <f t="shared" ref="AM7:AN11" si="347">C7</f>
        <v>Manager</v>
      </c>
      <c r="AN7" s="7" t="str">
        <f t="shared" si="347"/>
        <v>F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U7" s="7">
        <f>AK7</f>
        <v>1</v>
      </c>
      <c r="BV7" s="7" t="str">
        <f>AL7</f>
        <v>Anika</v>
      </c>
      <c r="BW7" s="7" t="str">
        <f t="shared" ref="BW7:BW11" si="348">AM7</f>
        <v>Manager</v>
      </c>
      <c r="BX7" s="7" t="str">
        <f t="shared" ref="BX7:BX11" si="349">AN7</f>
        <v>F</v>
      </c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E7" s="7">
        <f>BU7</f>
        <v>1</v>
      </c>
      <c r="DF7" s="7" t="str">
        <f>BV7</f>
        <v>Anika</v>
      </c>
      <c r="DG7" s="7" t="str">
        <f t="shared" ref="DG7:DG11" si="350">BW7</f>
        <v>Manager</v>
      </c>
      <c r="DH7" s="7" t="str">
        <f t="shared" ref="DH7:DH11" si="351">BX7</f>
        <v>F</v>
      </c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P7" s="7">
        <f>A7</f>
        <v>1</v>
      </c>
      <c r="EQ7" s="7" t="str">
        <f t="shared" ref="EQ7:ES7" si="352">B7</f>
        <v>Anika</v>
      </c>
      <c r="ER7" s="7" t="str">
        <f t="shared" si="352"/>
        <v>Manager</v>
      </c>
      <c r="ES7" s="7" t="str">
        <f t="shared" si="352"/>
        <v>F</v>
      </c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GA7" s="7">
        <f>A7</f>
        <v>1</v>
      </c>
      <c r="GB7" s="7" t="str">
        <f t="shared" ref="GB7:GD11" si="353">B7</f>
        <v>Anika</v>
      </c>
      <c r="GC7" s="7" t="str">
        <f t="shared" si="353"/>
        <v>Manager</v>
      </c>
      <c r="GD7" s="7" t="str">
        <f t="shared" si="353"/>
        <v>F</v>
      </c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K7" s="7">
        <f>A7</f>
        <v>1</v>
      </c>
      <c r="HL7" s="7" t="str">
        <f t="shared" ref="HL7:HN11" si="354">B7</f>
        <v>Anika</v>
      </c>
      <c r="HM7" s="7" t="str">
        <f t="shared" si="354"/>
        <v>Manager</v>
      </c>
      <c r="HN7" s="7" t="str">
        <f t="shared" si="354"/>
        <v>F</v>
      </c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V7" s="7">
        <f>A7</f>
        <v>1</v>
      </c>
      <c r="IW7" s="7" t="str">
        <f t="shared" ref="IW7:IY11" si="355">B7</f>
        <v>Anika</v>
      </c>
      <c r="IX7" s="7" t="str">
        <f t="shared" si="355"/>
        <v>Manager</v>
      </c>
      <c r="IY7" s="7" t="str">
        <f t="shared" si="355"/>
        <v>F</v>
      </c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F7" s="7">
        <f>A7</f>
        <v>1</v>
      </c>
      <c r="KG7" s="7" t="str">
        <f t="shared" ref="KG7:KI11" si="356">B7</f>
        <v>Anika</v>
      </c>
      <c r="KH7" s="7" t="str">
        <f t="shared" si="356"/>
        <v>Manager</v>
      </c>
      <c r="KI7" s="7" t="str">
        <f t="shared" si="356"/>
        <v>F</v>
      </c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Q7" s="7">
        <f>A7</f>
        <v>1</v>
      </c>
      <c r="LR7" s="7" t="str">
        <f t="shared" ref="LR7:LT11" si="357">B7</f>
        <v>Anika</v>
      </c>
      <c r="LS7" s="7" t="str">
        <f t="shared" si="357"/>
        <v>Manager</v>
      </c>
      <c r="LT7" s="7" t="str">
        <f t="shared" si="357"/>
        <v>F</v>
      </c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NB7" s="7">
        <f>A7</f>
        <v>1</v>
      </c>
      <c r="NC7" s="7" t="str">
        <f t="shared" ref="NC7:NE11" si="358">B7</f>
        <v>Anika</v>
      </c>
      <c r="ND7" s="7" t="str">
        <f t="shared" si="358"/>
        <v>Manager</v>
      </c>
      <c r="NE7" s="7" t="str">
        <f t="shared" si="358"/>
        <v>F</v>
      </c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J7" s="7">
        <f>A7</f>
        <v>1</v>
      </c>
      <c r="OK7" s="7" t="str">
        <f t="shared" ref="OK7:OM11" si="359">B7</f>
        <v>Anika</v>
      </c>
      <c r="OL7" s="7" t="str">
        <f t="shared" si="359"/>
        <v>Manager</v>
      </c>
      <c r="OM7" s="7" t="str">
        <f t="shared" si="359"/>
        <v>F</v>
      </c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</row>
    <row r="8" spans="1:434" x14ac:dyDescent="0.25">
      <c r="A8" s="7">
        <f>Setting!A6</f>
        <v>2</v>
      </c>
      <c r="B8" s="7" t="str">
        <f>Setting!B6</f>
        <v>Nasid</v>
      </c>
      <c r="C8" s="7" t="str">
        <f>Setting!C6</f>
        <v>Accountant</v>
      </c>
      <c r="D8" s="7" t="str">
        <f>Setting!D6</f>
        <v>F</v>
      </c>
      <c r="E8" s="1" t="s">
        <v>51</v>
      </c>
      <c r="F8" s="1" t="s">
        <v>51</v>
      </c>
      <c r="G8" s="1" t="s">
        <v>52</v>
      </c>
      <c r="H8" s="1" t="s">
        <v>52</v>
      </c>
      <c r="I8" s="1" t="s">
        <v>49</v>
      </c>
      <c r="J8" s="1" t="s">
        <v>49</v>
      </c>
      <c r="K8" s="1" t="s">
        <v>49</v>
      </c>
      <c r="L8" s="1" t="s">
        <v>51</v>
      </c>
      <c r="M8" s="1" t="s">
        <v>51</v>
      </c>
      <c r="N8" s="1" t="s">
        <v>49</v>
      </c>
      <c r="O8" s="1" t="s">
        <v>50</v>
      </c>
      <c r="P8" s="1" t="s">
        <v>50</v>
      </c>
      <c r="Q8" s="1" t="s">
        <v>50</v>
      </c>
      <c r="R8" s="1" t="s">
        <v>50</v>
      </c>
      <c r="S8" s="1" t="s">
        <v>51</v>
      </c>
      <c r="T8" s="1" t="s">
        <v>51</v>
      </c>
      <c r="U8" s="1" t="s">
        <v>50</v>
      </c>
      <c r="V8" s="1" t="s">
        <v>49</v>
      </c>
      <c r="W8" s="1" t="s">
        <v>49</v>
      </c>
      <c r="X8" s="1" t="s">
        <v>49</v>
      </c>
      <c r="Y8" s="1" t="s">
        <v>49</v>
      </c>
      <c r="Z8" s="1" t="s">
        <v>51</v>
      </c>
      <c r="AA8" s="1" t="s">
        <v>51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51</v>
      </c>
      <c r="AH8" s="1" t="s">
        <v>51</v>
      </c>
      <c r="AK8" s="7">
        <f t="shared" ref="AK8:AK11" si="360">A8</f>
        <v>2</v>
      </c>
      <c r="AL8" s="7" t="str">
        <f t="shared" ref="AL8:AL11" si="361">B8</f>
        <v>Nasid</v>
      </c>
      <c r="AM8" s="7" t="str">
        <f t="shared" si="347"/>
        <v>Accountant</v>
      </c>
      <c r="AN8" s="7" t="str">
        <f t="shared" si="347"/>
        <v>F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U8" s="7">
        <f t="shared" ref="BU8:BU11" si="362">AK8</f>
        <v>2</v>
      </c>
      <c r="BV8" s="7" t="str">
        <f t="shared" ref="BV8:BV11" si="363">AL8</f>
        <v>Nasid</v>
      </c>
      <c r="BW8" s="7" t="str">
        <f t="shared" si="348"/>
        <v>Accountant</v>
      </c>
      <c r="BX8" s="7" t="str">
        <f t="shared" si="349"/>
        <v>F</v>
      </c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E8" s="7">
        <f t="shared" ref="DE8:DE11" si="364">BU8</f>
        <v>2</v>
      </c>
      <c r="DF8" s="7" t="str">
        <f t="shared" ref="DF8:DF11" si="365">BV8</f>
        <v>Nasid</v>
      </c>
      <c r="DG8" s="7" t="str">
        <f t="shared" si="350"/>
        <v>Accountant</v>
      </c>
      <c r="DH8" s="7" t="str">
        <f t="shared" si="351"/>
        <v>F</v>
      </c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P8" s="7">
        <f t="shared" ref="EP8:EP11" si="366">A8</f>
        <v>2</v>
      </c>
      <c r="EQ8" s="7" t="str">
        <f t="shared" ref="EQ8:EQ11" si="367">B8</f>
        <v>Nasid</v>
      </c>
      <c r="ER8" s="7" t="str">
        <f t="shared" ref="ER8:ER11" si="368">C8</f>
        <v>Accountant</v>
      </c>
      <c r="ES8" s="7" t="str">
        <f t="shared" ref="ES8:ES11" si="369">D8</f>
        <v>F</v>
      </c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GA8" s="7">
        <f t="shared" ref="GA8:GA11" si="370">A8</f>
        <v>2</v>
      </c>
      <c r="GB8" s="7" t="str">
        <f t="shared" si="353"/>
        <v>Nasid</v>
      </c>
      <c r="GC8" s="7" t="str">
        <f t="shared" si="353"/>
        <v>Accountant</v>
      </c>
      <c r="GD8" s="7" t="str">
        <f t="shared" si="353"/>
        <v>F</v>
      </c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K8" s="7">
        <f t="shared" ref="HK8:HK11" si="371">A8</f>
        <v>2</v>
      </c>
      <c r="HL8" s="7" t="str">
        <f t="shared" si="354"/>
        <v>Nasid</v>
      </c>
      <c r="HM8" s="7" t="str">
        <f t="shared" si="354"/>
        <v>Accountant</v>
      </c>
      <c r="HN8" s="7" t="str">
        <f t="shared" si="354"/>
        <v>F</v>
      </c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V8" s="7">
        <f t="shared" ref="IV8:IV11" si="372">A8</f>
        <v>2</v>
      </c>
      <c r="IW8" s="7" t="str">
        <f t="shared" si="355"/>
        <v>Nasid</v>
      </c>
      <c r="IX8" s="7" t="str">
        <f t="shared" si="355"/>
        <v>Accountant</v>
      </c>
      <c r="IY8" s="7" t="str">
        <f t="shared" si="355"/>
        <v>F</v>
      </c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F8" s="7">
        <f t="shared" ref="KF8:KF11" si="373">A8</f>
        <v>2</v>
      </c>
      <c r="KG8" s="7" t="str">
        <f t="shared" si="356"/>
        <v>Nasid</v>
      </c>
      <c r="KH8" s="7" t="str">
        <f t="shared" si="356"/>
        <v>Accountant</v>
      </c>
      <c r="KI8" s="7" t="str">
        <f t="shared" si="356"/>
        <v>F</v>
      </c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Q8" s="7">
        <f t="shared" ref="LQ8:LQ11" si="374">A8</f>
        <v>2</v>
      </c>
      <c r="LR8" s="7" t="str">
        <f t="shared" si="357"/>
        <v>Nasid</v>
      </c>
      <c r="LS8" s="7" t="str">
        <f t="shared" si="357"/>
        <v>Accountant</v>
      </c>
      <c r="LT8" s="7" t="str">
        <f t="shared" si="357"/>
        <v>F</v>
      </c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NB8" s="7">
        <f t="shared" ref="NB8:NB11" si="375">A8</f>
        <v>2</v>
      </c>
      <c r="NC8" s="7" t="str">
        <f t="shared" si="358"/>
        <v>Nasid</v>
      </c>
      <c r="ND8" s="7" t="str">
        <f t="shared" si="358"/>
        <v>Accountant</v>
      </c>
      <c r="NE8" s="7" t="str">
        <f t="shared" si="358"/>
        <v>F</v>
      </c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J8" s="7">
        <f t="shared" ref="OJ8:OJ11" si="376">A8</f>
        <v>2</v>
      </c>
      <c r="OK8" s="7" t="str">
        <f t="shared" si="359"/>
        <v>Nasid</v>
      </c>
      <c r="OL8" s="7" t="str">
        <f t="shared" si="359"/>
        <v>Accountant</v>
      </c>
      <c r="OM8" s="7" t="str">
        <f t="shared" si="359"/>
        <v>F</v>
      </c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</row>
    <row r="9" spans="1:434" x14ac:dyDescent="0.25">
      <c r="A9" s="7">
        <f>Setting!A7</f>
        <v>3</v>
      </c>
      <c r="B9" s="7" t="str">
        <f>Setting!B7</f>
        <v>Oyshe</v>
      </c>
      <c r="C9" s="7" t="str">
        <f>Setting!C7</f>
        <v>Care Assistant</v>
      </c>
      <c r="D9" s="7" t="str">
        <f>Setting!D7</f>
        <v>F</v>
      </c>
      <c r="E9" s="1" t="s">
        <v>51</v>
      </c>
      <c r="F9" s="1" t="s">
        <v>51</v>
      </c>
      <c r="G9" s="1" t="s">
        <v>49</v>
      </c>
      <c r="H9" s="1" t="s">
        <v>49</v>
      </c>
      <c r="I9" s="1" t="s">
        <v>49</v>
      </c>
      <c r="J9" s="1" t="s">
        <v>49</v>
      </c>
      <c r="K9" s="1" t="s">
        <v>49</v>
      </c>
      <c r="L9" s="1" t="s">
        <v>51</v>
      </c>
      <c r="M9" s="1" t="s">
        <v>51</v>
      </c>
      <c r="N9" s="1" t="s">
        <v>49</v>
      </c>
      <c r="O9" s="1" t="s">
        <v>49</v>
      </c>
      <c r="P9" s="1" t="s">
        <v>49</v>
      </c>
      <c r="Q9" s="1" t="s">
        <v>49</v>
      </c>
      <c r="R9" s="1" t="s">
        <v>49</v>
      </c>
      <c r="S9" s="1" t="s">
        <v>51</v>
      </c>
      <c r="T9" s="1" t="s">
        <v>51</v>
      </c>
      <c r="U9" s="1" t="s">
        <v>49</v>
      </c>
      <c r="V9" s="1" t="s">
        <v>49</v>
      </c>
      <c r="W9" s="1" t="s">
        <v>49</v>
      </c>
      <c r="X9" s="1" t="s">
        <v>49</v>
      </c>
      <c r="Y9" s="1" t="s">
        <v>49</v>
      </c>
      <c r="Z9" s="1" t="s">
        <v>51</v>
      </c>
      <c r="AA9" s="1" t="s">
        <v>51</v>
      </c>
      <c r="AB9" s="1" t="s">
        <v>49</v>
      </c>
      <c r="AC9" s="1" t="s">
        <v>49</v>
      </c>
      <c r="AD9" s="1" t="s">
        <v>49</v>
      </c>
      <c r="AE9" s="1" t="s">
        <v>52</v>
      </c>
      <c r="AF9" s="1" t="s">
        <v>49</v>
      </c>
      <c r="AG9" s="1" t="s">
        <v>51</v>
      </c>
      <c r="AH9" s="1" t="s">
        <v>51</v>
      </c>
      <c r="AK9" s="7">
        <f t="shared" si="360"/>
        <v>3</v>
      </c>
      <c r="AL9" s="7" t="str">
        <f t="shared" si="361"/>
        <v>Oyshe</v>
      </c>
      <c r="AM9" s="7" t="str">
        <f t="shared" si="347"/>
        <v>Care Assistant</v>
      </c>
      <c r="AN9" s="7" t="str">
        <f t="shared" si="347"/>
        <v>F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U9" s="7">
        <f t="shared" si="362"/>
        <v>3</v>
      </c>
      <c r="BV9" s="7" t="str">
        <f t="shared" si="363"/>
        <v>Oyshe</v>
      </c>
      <c r="BW9" s="7" t="str">
        <f t="shared" si="348"/>
        <v>Care Assistant</v>
      </c>
      <c r="BX9" s="7" t="str">
        <f t="shared" si="349"/>
        <v>F</v>
      </c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E9" s="7">
        <f t="shared" si="364"/>
        <v>3</v>
      </c>
      <c r="DF9" s="7" t="str">
        <f t="shared" si="365"/>
        <v>Oyshe</v>
      </c>
      <c r="DG9" s="7" t="str">
        <f t="shared" si="350"/>
        <v>Care Assistant</v>
      </c>
      <c r="DH9" s="7" t="str">
        <f t="shared" si="351"/>
        <v>F</v>
      </c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P9" s="7">
        <f t="shared" si="366"/>
        <v>3</v>
      </c>
      <c r="EQ9" s="7" t="str">
        <f t="shared" si="367"/>
        <v>Oyshe</v>
      </c>
      <c r="ER9" s="7" t="str">
        <f t="shared" si="368"/>
        <v>Care Assistant</v>
      </c>
      <c r="ES9" s="7" t="str">
        <f t="shared" si="369"/>
        <v>F</v>
      </c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GA9" s="7">
        <f t="shared" si="370"/>
        <v>3</v>
      </c>
      <c r="GB9" s="7" t="str">
        <f t="shared" si="353"/>
        <v>Oyshe</v>
      </c>
      <c r="GC9" s="7" t="str">
        <f t="shared" si="353"/>
        <v>Care Assistant</v>
      </c>
      <c r="GD9" s="7" t="str">
        <f t="shared" si="353"/>
        <v>F</v>
      </c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K9" s="7">
        <f t="shared" si="371"/>
        <v>3</v>
      </c>
      <c r="HL9" s="7" t="str">
        <f t="shared" si="354"/>
        <v>Oyshe</v>
      </c>
      <c r="HM9" s="7" t="str">
        <f t="shared" si="354"/>
        <v>Care Assistant</v>
      </c>
      <c r="HN9" s="7" t="str">
        <f t="shared" si="354"/>
        <v>F</v>
      </c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V9" s="7">
        <f t="shared" si="372"/>
        <v>3</v>
      </c>
      <c r="IW9" s="7" t="str">
        <f t="shared" si="355"/>
        <v>Oyshe</v>
      </c>
      <c r="IX9" s="7" t="str">
        <f t="shared" si="355"/>
        <v>Care Assistant</v>
      </c>
      <c r="IY9" s="7" t="str">
        <f t="shared" si="355"/>
        <v>F</v>
      </c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F9" s="7">
        <f t="shared" si="373"/>
        <v>3</v>
      </c>
      <c r="KG9" s="7" t="str">
        <f t="shared" si="356"/>
        <v>Oyshe</v>
      </c>
      <c r="KH9" s="7" t="str">
        <f t="shared" si="356"/>
        <v>Care Assistant</v>
      </c>
      <c r="KI9" s="7" t="str">
        <f t="shared" si="356"/>
        <v>F</v>
      </c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Q9" s="7">
        <f t="shared" si="374"/>
        <v>3</v>
      </c>
      <c r="LR9" s="7" t="str">
        <f t="shared" si="357"/>
        <v>Oyshe</v>
      </c>
      <c r="LS9" s="7" t="str">
        <f t="shared" si="357"/>
        <v>Care Assistant</v>
      </c>
      <c r="LT9" s="7" t="str">
        <f t="shared" si="357"/>
        <v>F</v>
      </c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NB9" s="7">
        <f t="shared" si="375"/>
        <v>3</v>
      </c>
      <c r="NC9" s="7" t="str">
        <f t="shared" si="358"/>
        <v>Oyshe</v>
      </c>
      <c r="ND9" s="7" t="str">
        <f t="shared" si="358"/>
        <v>Care Assistant</v>
      </c>
      <c r="NE9" s="7" t="str">
        <f t="shared" si="358"/>
        <v>F</v>
      </c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J9" s="7">
        <f t="shared" si="376"/>
        <v>3</v>
      </c>
      <c r="OK9" s="7" t="str">
        <f t="shared" si="359"/>
        <v>Oyshe</v>
      </c>
      <c r="OL9" s="7" t="str">
        <f t="shared" si="359"/>
        <v>Care Assistant</v>
      </c>
      <c r="OM9" s="7" t="str">
        <f t="shared" si="359"/>
        <v>F</v>
      </c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</row>
    <row r="10" spans="1:434" x14ac:dyDescent="0.25">
      <c r="A10" s="7">
        <f>Setting!A8</f>
        <v>4</v>
      </c>
      <c r="B10" s="7" t="str">
        <f>Setting!B8</f>
        <v>Mumu</v>
      </c>
      <c r="C10" s="7" t="str">
        <f>Setting!C8</f>
        <v>Administrator</v>
      </c>
      <c r="D10" s="7" t="str">
        <f>Setting!D8</f>
        <v>F</v>
      </c>
      <c r="E10" s="1" t="s">
        <v>51</v>
      </c>
      <c r="F10" s="1" t="s">
        <v>51</v>
      </c>
      <c r="G10" s="1" t="s">
        <v>50</v>
      </c>
      <c r="H10" s="1" t="s">
        <v>50</v>
      </c>
      <c r="I10" s="1" t="s">
        <v>49</v>
      </c>
      <c r="J10" s="1" t="s">
        <v>49</v>
      </c>
      <c r="K10" s="1" t="s">
        <v>49</v>
      </c>
      <c r="L10" s="1" t="s">
        <v>51</v>
      </c>
      <c r="M10" s="1" t="s">
        <v>51</v>
      </c>
      <c r="N10" s="1" t="s">
        <v>52</v>
      </c>
      <c r="O10" s="1" t="s">
        <v>49</v>
      </c>
      <c r="P10" s="1" t="s">
        <v>49</v>
      </c>
      <c r="Q10" s="1" t="s">
        <v>49</v>
      </c>
      <c r="R10" s="1" t="s">
        <v>49</v>
      </c>
      <c r="S10" s="1" t="s">
        <v>51</v>
      </c>
      <c r="T10" s="1" t="s">
        <v>51</v>
      </c>
      <c r="U10" s="1" t="s">
        <v>49</v>
      </c>
      <c r="V10" s="1" t="s">
        <v>49</v>
      </c>
      <c r="W10" s="1" t="s">
        <v>49</v>
      </c>
      <c r="X10" s="1" t="s">
        <v>49</v>
      </c>
      <c r="Y10" s="1" t="s">
        <v>49</v>
      </c>
      <c r="Z10" s="1" t="s">
        <v>51</v>
      </c>
      <c r="AA10" s="1" t="s">
        <v>51</v>
      </c>
      <c r="AB10" s="1" t="s">
        <v>49</v>
      </c>
      <c r="AC10" s="1" t="s">
        <v>49</v>
      </c>
      <c r="AD10" s="1" t="s">
        <v>49</v>
      </c>
      <c r="AE10" s="1" t="s">
        <v>52</v>
      </c>
      <c r="AF10" s="1" t="s">
        <v>49</v>
      </c>
      <c r="AG10" s="1" t="s">
        <v>51</v>
      </c>
      <c r="AH10" s="1" t="s">
        <v>51</v>
      </c>
      <c r="AK10" s="7">
        <f t="shared" si="360"/>
        <v>4</v>
      </c>
      <c r="AL10" s="7" t="str">
        <f t="shared" si="361"/>
        <v>Mumu</v>
      </c>
      <c r="AM10" s="7" t="str">
        <f t="shared" si="347"/>
        <v>Administrator</v>
      </c>
      <c r="AN10" s="7" t="str">
        <f t="shared" si="347"/>
        <v>F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U10" s="7">
        <f t="shared" si="362"/>
        <v>4</v>
      </c>
      <c r="BV10" s="7" t="str">
        <f t="shared" si="363"/>
        <v>Mumu</v>
      </c>
      <c r="BW10" s="7" t="str">
        <f t="shared" si="348"/>
        <v>Administrator</v>
      </c>
      <c r="BX10" s="7" t="str">
        <f t="shared" si="349"/>
        <v>F</v>
      </c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E10" s="7">
        <f t="shared" si="364"/>
        <v>4</v>
      </c>
      <c r="DF10" s="7" t="str">
        <f t="shared" si="365"/>
        <v>Mumu</v>
      </c>
      <c r="DG10" s="7" t="str">
        <f t="shared" si="350"/>
        <v>Administrator</v>
      </c>
      <c r="DH10" s="7" t="str">
        <f t="shared" si="351"/>
        <v>F</v>
      </c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P10" s="7">
        <f t="shared" si="366"/>
        <v>4</v>
      </c>
      <c r="EQ10" s="7" t="str">
        <f t="shared" si="367"/>
        <v>Mumu</v>
      </c>
      <c r="ER10" s="7" t="str">
        <f t="shared" si="368"/>
        <v>Administrator</v>
      </c>
      <c r="ES10" s="7" t="str">
        <f t="shared" si="369"/>
        <v>F</v>
      </c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GA10" s="7">
        <f t="shared" si="370"/>
        <v>4</v>
      </c>
      <c r="GB10" s="7" t="str">
        <f t="shared" si="353"/>
        <v>Mumu</v>
      </c>
      <c r="GC10" s="7" t="str">
        <f t="shared" si="353"/>
        <v>Administrator</v>
      </c>
      <c r="GD10" s="7" t="str">
        <f t="shared" si="353"/>
        <v>F</v>
      </c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K10" s="7">
        <f t="shared" si="371"/>
        <v>4</v>
      </c>
      <c r="HL10" s="7" t="str">
        <f t="shared" si="354"/>
        <v>Mumu</v>
      </c>
      <c r="HM10" s="7" t="str">
        <f t="shared" si="354"/>
        <v>Administrator</v>
      </c>
      <c r="HN10" s="7" t="str">
        <f t="shared" si="354"/>
        <v>F</v>
      </c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V10" s="7">
        <f t="shared" si="372"/>
        <v>4</v>
      </c>
      <c r="IW10" s="7" t="str">
        <f t="shared" si="355"/>
        <v>Mumu</v>
      </c>
      <c r="IX10" s="7" t="str">
        <f t="shared" si="355"/>
        <v>Administrator</v>
      </c>
      <c r="IY10" s="7" t="str">
        <f t="shared" si="355"/>
        <v>F</v>
      </c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F10" s="7">
        <f t="shared" si="373"/>
        <v>4</v>
      </c>
      <c r="KG10" s="7" t="str">
        <f t="shared" si="356"/>
        <v>Mumu</v>
      </c>
      <c r="KH10" s="7" t="str">
        <f t="shared" si="356"/>
        <v>Administrator</v>
      </c>
      <c r="KI10" s="7" t="str">
        <f t="shared" si="356"/>
        <v>F</v>
      </c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Q10" s="7">
        <f t="shared" si="374"/>
        <v>4</v>
      </c>
      <c r="LR10" s="7" t="str">
        <f t="shared" si="357"/>
        <v>Mumu</v>
      </c>
      <c r="LS10" s="7" t="str">
        <f t="shared" si="357"/>
        <v>Administrator</v>
      </c>
      <c r="LT10" s="7" t="str">
        <f t="shared" si="357"/>
        <v>F</v>
      </c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NB10" s="7">
        <f t="shared" si="375"/>
        <v>4</v>
      </c>
      <c r="NC10" s="7" t="str">
        <f t="shared" si="358"/>
        <v>Mumu</v>
      </c>
      <c r="ND10" s="7" t="str">
        <f t="shared" si="358"/>
        <v>Administrator</v>
      </c>
      <c r="NE10" s="7" t="str">
        <f t="shared" si="358"/>
        <v>F</v>
      </c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J10" s="7">
        <f t="shared" si="376"/>
        <v>4</v>
      </c>
      <c r="OK10" s="7" t="str">
        <f t="shared" si="359"/>
        <v>Mumu</v>
      </c>
      <c r="OL10" s="7" t="str">
        <f t="shared" si="359"/>
        <v>Administrator</v>
      </c>
      <c r="OM10" s="7" t="str">
        <f t="shared" si="359"/>
        <v>F</v>
      </c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</row>
    <row r="11" spans="1:434" x14ac:dyDescent="0.25">
      <c r="A11" s="7">
        <f>Setting!A9</f>
        <v>5</v>
      </c>
      <c r="B11" s="7" t="str">
        <f>Setting!B9</f>
        <v>Sakib</v>
      </c>
      <c r="C11" s="7" t="str">
        <f>Setting!C9</f>
        <v>Driver</v>
      </c>
      <c r="D11" s="7" t="str">
        <f>Setting!D9</f>
        <v>M</v>
      </c>
      <c r="E11" s="1" t="s">
        <v>51</v>
      </c>
      <c r="F11" s="1" t="s">
        <v>51</v>
      </c>
      <c r="G11" s="1" t="s">
        <v>49</v>
      </c>
      <c r="H11" s="1" t="s">
        <v>49</v>
      </c>
      <c r="I11" s="1" t="s">
        <v>49</v>
      </c>
      <c r="J11" s="1" t="s">
        <v>49</v>
      </c>
      <c r="K11" s="1" t="s">
        <v>49</v>
      </c>
      <c r="L11" s="1" t="s">
        <v>51</v>
      </c>
      <c r="M11" s="1" t="s">
        <v>51</v>
      </c>
      <c r="N11" s="1" t="s">
        <v>52</v>
      </c>
      <c r="O11" s="1" t="s">
        <v>52</v>
      </c>
      <c r="P11" s="1" t="s">
        <v>52</v>
      </c>
      <c r="Q11" s="1" t="s">
        <v>52</v>
      </c>
      <c r="R11" s="1" t="s">
        <v>52</v>
      </c>
      <c r="S11" s="1" t="s">
        <v>51</v>
      </c>
      <c r="T11" s="1" t="s">
        <v>51</v>
      </c>
      <c r="U11" s="1" t="s">
        <v>49</v>
      </c>
      <c r="V11" s="1" t="s">
        <v>49</v>
      </c>
      <c r="W11" s="1" t="s">
        <v>49</v>
      </c>
      <c r="X11" s="1" t="s">
        <v>49</v>
      </c>
      <c r="Y11" s="1" t="s">
        <v>49</v>
      </c>
      <c r="Z11" s="1" t="s">
        <v>51</v>
      </c>
      <c r="AA11" s="1" t="s">
        <v>51</v>
      </c>
      <c r="AB11" s="1" t="s">
        <v>50</v>
      </c>
      <c r="AC11" s="1" t="s">
        <v>50</v>
      </c>
      <c r="AD11" s="1" t="s">
        <v>50</v>
      </c>
      <c r="AE11" s="1" t="s">
        <v>49</v>
      </c>
      <c r="AF11" s="1" t="s">
        <v>49</v>
      </c>
      <c r="AG11" s="1" t="s">
        <v>51</v>
      </c>
      <c r="AH11" s="1" t="s">
        <v>51</v>
      </c>
      <c r="AK11" s="7">
        <f t="shared" si="360"/>
        <v>5</v>
      </c>
      <c r="AL11" s="7" t="str">
        <f t="shared" si="361"/>
        <v>Sakib</v>
      </c>
      <c r="AM11" s="7" t="str">
        <f t="shared" si="347"/>
        <v>Driver</v>
      </c>
      <c r="AN11" s="7" t="str">
        <f t="shared" si="347"/>
        <v>M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U11" s="7">
        <f t="shared" si="362"/>
        <v>5</v>
      </c>
      <c r="BV11" s="7" t="str">
        <f t="shared" si="363"/>
        <v>Sakib</v>
      </c>
      <c r="BW11" s="7" t="str">
        <f t="shared" si="348"/>
        <v>Driver</v>
      </c>
      <c r="BX11" s="7" t="str">
        <f t="shared" si="349"/>
        <v>M</v>
      </c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E11" s="7">
        <f t="shared" si="364"/>
        <v>5</v>
      </c>
      <c r="DF11" s="7" t="str">
        <f t="shared" si="365"/>
        <v>Sakib</v>
      </c>
      <c r="DG11" s="7" t="str">
        <f t="shared" si="350"/>
        <v>Driver</v>
      </c>
      <c r="DH11" s="7" t="str">
        <f t="shared" si="351"/>
        <v>M</v>
      </c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P11" s="7">
        <f t="shared" si="366"/>
        <v>5</v>
      </c>
      <c r="EQ11" s="7" t="str">
        <f t="shared" si="367"/>
        <v>Sakib</v>
      </c>
      <c r="ER11" s="7" t="str">
        <f t="shared" si="368"/>
        <v>Driver</v>
      </c>
      <c r="ES11" s="7" t="str">
        <f t="shared" si="369"/>
        <v>M</v>
      </c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GA11" s="7">
        <f t="shared" si="370"/>
        <v>5</v>
      </c>
      <c r="GB11" s="7" t="str">
        <f t="shared" si="353"/>
        <v>Sakib</v>
      </c>
      <c r="GC11" s="7" t="str">
        <f t="shared" si="353"/>
        <v>Driver</v>
      </c>
      <c r="GD11" s="7" t="str">
        <f t="shared" si="353"/>
        <v>M</v>
      </c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K11" s="7">
        <f t="shared" si="371"/>
        <v>5</v>
      </c>
      <c r="HL11" s="7" t="str">
        <f t="shared" si="354"/>
        <v>Sakib</v>
      </c>
      <c r="HM11" s="7" t="str">
        <f t="shared" si="354"/>
        <v>Driver</v>
      </c>
      <c r="HN11" s="7" t="str">
        <f t="shared" si="354"/>
        <v>M</v>
      </c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V11" s="7">
        <f t="shared" si="372"/>
        <v>5</v>
      </c>
      <c r="IW11" s="7" t="str">
        <f t="shared" si="355"/>
        <v>Sakib</v>
      </c>
      <c r="IX11" s="7" t="str">
        <f t="shared" si="355"/>
        <v>Driver</v>
      </c>
      <c r="IY11" s="7" t="str">
        <f t="shared" si="355"/>
        <v>M</v>
      </c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F11" s="7">
        <f t="shared" si="373"/>
        <v>5</v>
      </c>
      <c r="KG11" s="7" t="str">
        <f t="shared" si="356"/>
        <v>Sakib</v>
      </c>
      <c r="KH11" s="7" t="str">
        <f t="shared" si="356"/>
        <v>Driver</v>
      </c>
      <c r="KI11" s="7" t="str">
        <f t="shared" si="356"/>
        <v>M</v>
      </c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Q11" s="7">
        <f t="shared" si="374"/>
        <v>5</v>
      </c>
      <c r="LR11" s="7" t="str">
        <f t="shared" si="357"/>
        <v>Sakib</v>
      </c>
      <c r="LS11" s="7" t="str">
        <f t="shared" si="357"/>
        <v>Driver</v>
      </c>
      <c r="LT11" s="7" t="str">
        <f t="shared" si="357"/>
        <v>M</v>
      </c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NB11" s="7">
        <f t="shared" si="375"/>
        <v>5</v>
      </c>
      <c r="NC11" s="7" t="str">
        <f t="shared" si="358"/>
        <v>Sakib</v>
      </c>
      <c r="ND11" s="7" t="str">
        <f t="shared" si="358"/>
        <v>Driver</v>
      </c>
      <c r="NE11" s="7" t="str">
        <f t="shared" si="358"/>
        <v>M</v>
      </c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J11" s="7">
        <f t="shared" si="376"/>
        <v>5</v>
      </c>
      <c r="OK11" s="7" t="str">
        <f t="shared" si="359"/>
        <v>Sakib</v>
      </c>
      <c r="OL11" s="7" t="str">
        <f t="shared" si="359"/>
        <v>Driver</v>
      </c>
      <c r="OM11" s="7" t="str">
        <f t="shared" si="359"/>
        <v>M</v>
      </c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</row>
  </sheetData>
  <conditionalFormatting sqref="AN5:BR6 BS5:BS11 AO7:BR11 E6:AH11">
    <cfRule type="expression" dxfId="80" priority="31">
      <formula>E$5="Sat"</formula>
    </cfRule>
    <cfRule type="expression" dxfId="79" priority="32">
      <formula>E$5</formula>
    </cfRule>
    <cfRule type="expression" dxfId="78" priority="33">
      <formula>E$5="Sun"</formula>
    </cfRule>
  </conditionalFormatting>
  <conditionalFormatting sqref="BX5:DB6 BY7:DB11">
    <cfRule type="expression" dxfId="77" priority="28">
      <formula>BX$5="Sat"</formula>
    </cfRule>
    <cfRule type="expression" dxfId="76" priority="29">
      <formula>BX$5</formula>
    </cfRule>
    <cfRule type="expression" dxfId="75" priority="30">
      <formula>BX$5="Sun"</formula>
    </cfRule>
  </conditionalFormatting>
  <conditionalFormatting sqref="DH5:EL6 EM5:EM11 DI7:EL11">
    <cfRule type="expression" dxfId="74" priority="25">
      <formula>DH$5="Sat"</formula>
    </cfRule>
    <cfRule type="expression" dxfId="73" priority="26">
      <formula>DH$5</formula>
    </cfRule>
    <cfRule type="expression" dxfId="72" priority="27">
      <formula>DH$5="Sun"</formula>
    </cfRule>
  </conditionalFormatting>
  <conditionalFormatting sqref="ES5:FW6 FX5:FX11 ET7:FW11">
    <cfRule type="expression" dxfId="71" priority="22">
      <formula>ES$5="Sat"</formula>
    </cfRule>
    <cfRule type="expression" dxfId="70" priority="23">
      <formula>ES$5</formula>
    </cfRule>
    <cfRule type="expression" dxfId="69" priority="24">
      <formula>ES$5="Sun"</formula>
    </cfRule>
  </conditionalFormatting>
  <conditionalFormatting sqref="GD5:HH6 GE7:HH11">
    <cfRule type="expression" dxfId="68" priority="19">
      <formula>GD$5="Sat"</formula>
    </cfRule>
    <cfRule type="expression" dxfId="67" priority="20">
      <formula>GD$5</formula>
    </cfRule>
    <cfRule type="expression" dxfId="66" priority="21">
      <formula>GD$5="Sun"</formula>
    </cfRule>
  </conditionalFormatting>
  <conditionalFormatting sqref="HN5:IR6 IS5:IS11 HO7:IR11">
    <cfRule type="expression" dxfId="65" priority="16">
      <formula>HN$5="Sat"</formula>
    </cfRule>
    <cfRule type="expression" dxfId="64" priority="17">
      <formula>HN$5</formula>
    </cfRule>
    <cfRule type="expression" dxfId="63" priority="18">
      <formula>HN$5="Sun"</formula>
    </cfRule>
  </conditionalFormatting>
  <conditionalFormatting sqref="IY5:KC6 IZ7:KC11">
    <cfRule type="expression" dxfId="62" priority="13">
      <formula>IY$5="Sat"</formula>
    </cfRule>
    <cfRule type="expression" dxfId="61" priority="14">
      <formula>IY$5</formula>
    </cfRule>
    <cfRule type="expression" dxfId="60" priority="15">
      <formula>IY$5="Sun"</formula>
    </cfRule>
  </conditionalFormatting>
  <conditionalFormatting sqref="KI5:LM6 LN5:LN11 KJ7:LM11">
    <cfRule type="expression" dxfId="59" priority="10">
      <formula>KI$5="Sat"</formula>
    </cfRule>
    <cfRule type="expression" dxfId="58" priority="11">
      <formula>KI$5</formula>
    </cfRule>
    <cfRule type="expression" dxfId="57" priority="12">
      <formula>KI$5="Sun"</formula>
    </cfRule>
  </conditionalFormatting>
  <conditionalFormatting sqref="LT5:MX6 MY5:MY11 LU7:MX11">
    <cfRule type="expression" dxfId="56" priority="7">
      <formula>LT$5="Sat"</formula>
    </cfRule>
    <cfRule type="expression" dxfId="55" priority="8">
      <formula>LT$5</formula>
    </cfRule>
    <cfRule type="expression" dxfId="54" priority="9">
      <formula>LT$5="Sun"</formula>
    </cfRule>
  </conditionalFormatting>
  <conditionalFormatting sqref="NE5:OG6 NF7:OG11 E5:AH5">
    <cfRule type="expression" dxfId="53" priority="34">
      <formula>E$5="Sat"</formula>
    </cfRule>
    <cfRule type="expression" dxfId="52" priority="35">
      <formula>E$5</formula>
    </cfRule>
    <cfRule type="expression" dxfId="51" priority="36">
      <formula>E$5="Sun"</formula>
    </cfRule>
  </conditionalFormatting>
  <conditionalFormatting sqref="OM5:PQ6 PR5:PR11 ON7:PQ11">
    <cfRule type="expression" dxfId="50" priority="1">
      <formula>OM$5="Sat"</formula>
    </cfRule>
    <cfRule type="expression" dxfId="49" priority="2">
      <formula>OM$5</formula>
    </cfRule>
    <cfRule type="expression" dxfId="48" priority="3">
      <formula>OM$5="Sun"</formula>
    </cfRule>
  </conditionalFormatting>
  <conditionalFormatting sqref="D5 D7:D11">
    <cfRule type="expression" dxfId="47" priority="40">
      <formula>#REF!="Sat"</formula>
    </cfRule>
    <cfRule type="expression" dxfId="46" priority="41">
      <formula>#REF!</formula>
    </cfRule>
    <cfRule type="expression" dxfId="45" priority="42">
      <formula>#REF!="Sun"</formula>
    </cfRule>
  </conditionalFormatting>
  <dataValidations count="1">
    <dataValidation type="list" allowBlank="1" showInputMessage="1" showErrorMessage="1" sqref="ON7:PR11 AO7:BS11 BY7:DB11 DI7:EM11 ET7:FX11 GE7:HH11 HO7:IS11 IZ7:KC11 KJ7:LN11 LU7:MY11 NF7:OG11 E7:AH11" xr:uid="{37ABD0A5-6316-49A2-9A56-E607E3262E22}">
      <formula1>Plan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A67D0-104A-4339-829E-3DD9FF0B3126}">
  <sheetPr codeName="Sheet3"/>
  <dimension ref="A1:N15"/>
  <sheetViews>
    <sheetView workbookViewId="0">
      <selection activeCell="E15" sqref="E15"/>
    </sheetView>
  </sheetViews>
  <sheetFormatPr defaultRowHeight="15" x14ac:dyDescent="0.25"/>
  <cols>
    <col min="1" max="1" width="12.140625" bestFit="1" customWidth="1"/>
    <col min="2" max="2" width="18.140625" bestFit="1" customWidth="1"/>
    <col min="3" max="3" width="13.5703125" bestFit="1" customWidth="1"/>
    <col min="4" max="4" width="7.5703125" bestFit="1" customWidth="1"/>
    <col min="5" max="5" width="11.140625" bestFit="1" customWidth="1"/>
    <col min="6" max="6" width="12" bestFit="1" customWidth="1"/>
    <col min="7" max="7" width="11.42578125" bestFit="1" customWidth="1"/>
    <col min="8" max="8" width="10.7109375" bestFit="1" customWidth="1"/>
    <col min="9" max="9" width="11.42578125" bestFit="1" customWidth="1"/>
    <col min="10" max="10" width="8" bestFit="1" customWidth="1"/>
    <col min="11" max="11" width="16" bestFit="1" customWidth="1"/>
    <col min="12" max="12" width="14.85546875" bestFit="1" customWidth="1"/>
    <col min="13" max="13" width="16.140625" bestFit="1" customWidth="1"/>
    <col min="14" max="14" width="7.85546875" bestFit="1" customWidth="1"/>
  </cols>
  <sheetData>
    <row r="1" spans="1:14" x14ac:dyDescent="0.25">
      <c r="B1" t="s">
        <v>47</v>
      </c>
    </row>
    <row r="2" spans="1:14" x14ac:dyDescent="0.25">
      <c r="B2">
        <v>2023</v>
      </c>
    </row>
    <row r="4" spans="1:14" x14ac:dyDescent="0.25">
      <c r="A4" s="2" t="s">
        <v>0</v>
      </c>
      <c r="B4" s="2" t="s">
        <v>1</v>
      </c>
      <c r="C4" s="2" t="s">
        <v>2</v>
      </c>
      <c r="D4" s="2" t="s">
        <v>57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43</v>
      </c>
      <c r="L4" s="2" t="s">
        <v>44</v>
      </c>
      <c r="M4" s="2" t="s">
        <v>45</v>
      </c>
      <c r="N4" s="2" t="s">
        <v>46</v>
      </c>
    </row>
    <row r="5" spans="1:14" x14ac:dyDescent="0.25">
      <c r="A5" s="7">
        <v>1</v>
      </c>
      <c r="B5" s="1" t="s">
        <v>9</v>
      </c>
      <c r="C5" s="1" t="s">
        <v>14</v>
      </c>
      <c r="D5" s="1" t="s">
        <v>19</v>
      </c>
      <c r="E5" s="1">
        <v>30000</v>
      </c>
      <c r="F5" s="1" t="s">
        <v>21</v>
      </c>
      <c r="G5" s="1" t="s">
        <v>25</v>
      </c>
      <c r="H5" s="1" t="s">
        <v>29</v>
      </c>
      <c r="I5" s="1" t="s">
        <v>34</v>
      </c>
      <c r="J5" s="1" t="s">
        <v>38</v>
      </c>
      <c r="K5" s="1"/>
      <c r="L5" s="1"/>
      <c r="M5" s="1"/>
      <c r="N5" s="1"/>
    </row>
    <row r="6" spans="1:14" x14ac:dyDescent="0.25">
      <c r="A6" s="7">
        <v>2</v>
      </c>
      <c r="B6" s="1" t="s">
        <v>10</v>
      </c>
      <c r="C6" s="1" t="s">
        <v>15</v>
      </c>
      <c r="D6" s="1" t="s">
        <v>19</v>
      </c>
      <c r="E6" s="1">
        <v>27000</v>
      </c>
      <c r="F6" s="1" t="s">
        <v>22</v>
      </c>
      <c r="G6" s="1" t="s">
        <v>26</v>
      </c>
      <c r="H6" s="1" t="s">
        <v>30</v>
      </c>
      <c r="I6" s="1" t="s">
        <v>35</v>
      </c>
      <c r="J6" s="1" t="s">
        <v>39</v>
      </c>
      <c r="K6" s="1"/>
      <c r="L6" s="1"/>
      <c r="M6" s="1"/>
      <c r="N6" s="1"/>
    </row>
    <row r="7" spans="1:14" x14ac:dyDescent="0.25">
      <c r="A7" s="7">
        <v>3</v>
      </c>
      <c r="B7" s="1" t="s">
        <v>11</v>
      </c>
      <c r="C7" s="1" t="s">
        <v>16</v>
      </c>
      <c r="D7" s="1" t="s">
        <v>19</v>
      </c>
      <c r="E7" s="1">
        <v>25000</v>
      </c>
      <c r="F7" s="1" t="s">
        <v>21</v>
      </c>
      <c r="G7" s="1" t="s">
        <v>27</v>
      </c>
      <c r="H7" s="1" t="s">
        <v>31</v>
      </c>
      <c r="I7" s="1" t="s">
        <v>36</v>
      </c>
      <c r="J7" s="1" t="s">
        <v>40</v>
      </c>
      <c r="K7" s="1"/>
      <c r="L7" s="1"/>
      <c r="M7" s="1"/>
      <c r="N7" s="1"/>
    </row>
    <row r="8" spans="1:14" x14ac:dyDescent="0.25">
      <c r="A8" s="7">
        <v>4</v>
      </c>
      <c r="B8" s="1" t="s">
        <v>12</v>
      </c>
      <c r="C8" s="1" t="s">
        <v>17</v>
      </c>
      <c r="D8" s="1" t="s">
        <v>19</v>
      </c>
      <c r="E8" s="1">
        <v>26000</v>
      </c>
      <c r="F8" s="1" t="s">
        <v>23</v>
      </c>
      <c r="G8" s="1" t="s">
        <v>27</v>
      </c>
      <c r="H8" s="1" t="s">
        <v>32</v>
      </c>
      <c r="I8" s="1" t="s">
        <v>37</v>
      </c>
      <c r="J8" s="1" t="s">
        <v>41</v>
      </c>
      <c r="K8" s="1"/>
      <c r="L8" s="1"/>
      <c r="M8" s="1"/>
      <c r="N8" s="1"/>
    </row>
    <row r="9" spans="1:14" x14ac:dyDescent="0.25">
      <c r="A9" s="7">
        <v>5</v>
      </c>
      <c r="B9" s="1" t="s">
        <v>13</v>
      </c>
      <c r="C9" s="1" t="s">
        <v>18</v>
      </c>
      <c r="D9" s="1" t="s">
        <v>20</v>
      </c>
      <c r="E9" s="1">
        <v>24000</v>
      </c>
      <c r="F9" s="1" t="s">
        <v>24</v>
      </c>
      <c r="G9" s="1" t="s">
        <v>28</v>
      </c>
      <c r="H9" s="1" t="s">
        <v>33</v>
      </c>
      <c r="I9" s="1" t="s">
        <v>34</v>
      </c>
      <c r="J9" s="1" t="s">
        <v>42</v>
      </c>
      <c r="K9" s="1"/>
      <c r="L9" s="1"/>
      <c r="M9" s="1"/>
      <c r="N9" s="1"/>
    </row>
    <row r="12" spans="1:14" x14ac:dyDescent="0.25">
      <c r="B12" t="s">
        <v>53</v>
      </c>
      <c r="C12" t="s">
        <v>49</v>
      </c>
    </row>
    <row r="13" spans="1:14" x14ac:dyDescent="0.25">
      <c r="B13" t="s">
        <v>54</v>
      </c>
      <c r="C13" t="s">
        <v>50</v>
      </c>
    </row>
    <row r="14" spans="1:14" x14ac:dyDescent="0.25">
      <c r="B14" t="s">
        <v>55</v>
      </c>
      <c r="C14" t="s">
        <v>51</v>
      </c>
    </row>
    <row r="15" spans="1:14" x14ac:dyDescent="0.25">
      <c r="B15" t="s">
        <v>56</v>
      </c>
      <c r="C15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961E6-2C1C-4650-9108-10F428599287}">
  <sheetPr codeName="Sheet4"/>
  <dimension ref="A3:E8"/>
  <sheetViews>
    <sheetView workbookViewId="0">
      <selection activeCell="D15" sqref="D15"/>
    </sheetView>
  </sheetViews>
  <sheetFormatPr defaultRowHeight="15" x14ac:dyDescent="0.25"/>
  <cols>
    <col min="2" max="2" width="11.7109375" customWidth="1"/>
    <col min="3" max="3" width="22.42578125" customWidth="1"/>
    <col min="4" max="4" width="13.42578125" customWidth="1"/>
    <col min="5" max="5" width="32.5703125" customWidth="1"/>
  </cols>
  <sheetData>
    <row r="3" spans="1:5" ht="15.75" x14ac:dyDescent="0.25">
      <c r="A3" s="74" t="s">
        <v>48</v>
      </c>
      <c r="B3" s="74" t="s">
        <v>97</v>
      </c>
      <c r="C3" s="74" t="s">
        <v>1</v>
      </c>
      <c r="D3" s="74" t="s">
        <v>98</v>
      </c>
      <c r="E3" s="74" t="s">
        <v>99</v>
      </c>
    </row>
    <row r="4" spans="1:5" x14ac:dyDescent="0.25">
      <c r="A4" s="7">
        <v>1</v>
      </c>
      <c r="B4" s="75">
        <v>45018</v>
      </c>
      <c r="C4" s="7" t="str">
        <f>IFERROR(VLOOKUP(A4, Setting!$A$4:$N$9,2,0),"")</f>
        <v>Anika</v>
      </c>
      <c r="D4" s="7">
        <v>20000</v>
      </c>
      <c r="E4" s="7"/>
    </row>
    <row r="5" spans="1:5" x14ac:dyDescent="0.25">
      <c r="A5" s="7">
        <v>2</v>
      </c>
      <c r="B5" s="75">
        <v>45018</v>
      </c>
      <c r="C5" s="7" t="str">
        <f>IFERROR(VLOOKUP(A5, Setting!$A$4:$N$9,2,0),"")</f>
        <v>Nasid</v>
      </c>
      <c r="D5" s="7">
        <v>18000</v>
      </c>
      <c r="E5" s="7"/>
    </row>
    <row r="6" spans="1:5" x14ac:dyDescent="0.25">
      <c r="A6" s="7">
        <v>3</v>
      </c>
      <c r="B6" s="75">
        <v>45018</v>
      </c>
      <c r="C6" s="7" t="str">
        <f>IFERROR(VLOOKUP(A6, Setting!$A$4:$N$9,2,0),"")</f>
        <v>Oyshe</v>
      </c>
      <c r="D6" s="7">
        <v>22000</v>
      </c>
      <c r="E6" s="7"/>
    </row>
    <row r="7" spans="1:5" x14ac:dyDescent="0.25">
      <c r="A7" s="7">
        <v>4</v>
      </c>
      <c r="B7" s="75">
        <v>45018</v>
      </c>
      <c r="C7" s="7" t="str">
        <f>IFERROR(VLOOKUP(A7, Setting!$A$4:$N$9,2,0),"")</f>
        <v>Mumu</v>
      </c>
      <c r="D7" s="7">
        <v>22000</v>
      </c>
      <c r="E7" s="7"/>
    </row>
    <row r="8" spans="1:5" x14ac:dyDescent="0.25">
      <c r="A8" s="7">
        <v>5</v>
      </c>
      <c r="B8" s="75">
        <v>45018</v>
      </c>
      <c r="C8" s="7" t="str">
        <f>IFERROR(VLOOKUP(A8, Setting!$A$4:$N$9,2,0),"")</f>
        <v>Sakib</v>
      </c>
      <c r="D8" s="7">
        <v>17000</v>
      </c>
      <c r="E8" s="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37a236c-e209-465e-a904-b4b4fb1d637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31D3012C08234FB68BA722CF7935B6" ma:contentTypeVersion="10" ma:contentTypeDescription="Create a new document." ma:contentTypeScope="" ma:versionID="4feef06a3ab468bf64742913c65e7cc0">
  <xsd:schema xmlns:xsd="http://www.w3.org/2001/XMLSchema" xmlns:xs="http://www.w3.org/2001/XMLSchema" xmlns:p="http://schemas.microsoft.com/office/2006/metadata/properties" xmlns:ns3="137a236c-e209-465e-a904-b4b4fb1d6378" xmlns:ns4="d0c1c919-eb95-4ccd-b816-afaee07a6337" targetNamespace="http://schemas.microsoft.com/office/2006/metadata/properties" ma:root="true" ma:fieldsID="5703084859570389c3f29d72ef0274b1" ns3:_="" ns4:_="">
    <xsd:import namespace="137a236c-e209-465e-a904-b4b4fb1d6378"/>
    <xsd:import namespace="d0c1c919-eb95-4ccd-b816-afaee07a633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7a236c-e209-465e-a904-b4b4fb1d63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1c919-eb95-4ccd-b816-afaee07a633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DB4075-9823-4817-9E14-7853B4742F46}">
  <ds:schemaRefs>
    <ds:schemaRef ds:uri="http://schemas.microsoft.com/office/infopath/2007/PartnerControls"/>
    <ds:schemaRef ds:uri="137a236c-e209-465e-a904-b4b4fb1d6378"/>
    <ds:schemaRef ds:uri="d0c1c919-eb95-4ccd-b816-afaee07a6337"/>
    <ds:schemaRef ds:uri="http://purl.org/dc/terms/"/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6371177-4D5E-4E16-AC48-4F440CC1AA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7F9035-3F04-4CC3-96B9-52D54F455E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7a236c-e209-465e-a904-b4b4fb1d6378"/>
    <ds:schemaRef ds:uri="d0c1c919-eb95-4ccd-b816-afaee07a63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Reports</vt:lpstr>
      <vt:lpstr>Attendance</vt:lpstr>
      <vt:lpstr>Setting</vt:lpstr>
      <vt:lpstr>Payment</vt:lpstr>
      <vt:lpstr>Apr</vt:lpstr>
      <vt:lpstr>Aug</vt:lpstr>
      <vt:lpstr>Dec</vt:lpstr>
      <vt:lpstr>Feb</vt:lpstr>
      <vt:lpstr>Jan</vt:lpstr>
      <vt:lpstr>Jul</vt:lpstr>
      <vt:lpstr>Jun</vt:lpstr>
      <vt:lpstr>Mar</vt:lpstr>
      <vt:lpstr>May</vt:lpstr>
      <vt:lpstr>Nov</vt:lpstr>
      <vt:lpstr>Oct</vt:lpstr>
      <vt:lpstr>Plan</vt:lpstr>
      <vt:lpstr>Reports!Print_Area</vt:lpstr>
      <vt:lpstr>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 Tahsin</dc:creator>
  <cp:lastModifiedBy>Anika Tahsin (U2271371)</cp:lastModifiedBy>
  <cp:lastPrinted>2024-01-25T15:50:52Z</cp:lastPrinted>
  <dcterms:created xsi:type="dcterms:W3CDTF">2024-01-23T12:22:19Z</dcterms:created>
  <dcterms:modified xsi:type="dcterms:W3CDTF">2024-01-25T15:52:58Z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0x010100F231D3012C08234FB68BA722CF7935B6</vt:lpwstr>
  </property>
</Properties>
</file>